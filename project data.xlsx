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Precious\OneDrive\Dokumente\"/>
    </mc:Choice>
  </mc:AlternateContent>
  <xr:revisionPtr revIDLastSave="0" documentId="13_ncr:1_{C2A3545C-EF7F-4E17-907A-73F293BC16F2}" xr6:coauthVersionLast="47" xr6:coauthVersionMax="47" xr10:uidLastSave="{00000000-0000-0000-0000-000000000000}"/>
  <bookViews>
    <workbookView xWindow="-120" yWindow="-120" windowWidth="20730" windowHeight="11160" activeTab="1" xr2:uid="{6D42624D-173F-49AF-A95E-C2E97AAEDE56}"/>
  </bookViews>
  <sheets>
    <sheet name="Analytics" sheetId="2" r:id="rId1"/>
    <sheet name="Dashboard" sheetId="3" r:id="rId2"/>
    <sheet name="project data" sheetId="1" r:id="rId3"/>
  </sheets>
  <definedNames>
    <definedName name="Slicer_Department">#N/A</definedName>
  </definedNames>
  <calcPr calcId="191029"/>
  <pivotCaches>
    <pivotCache cacheId="1"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24" i="2" l="1"/>
  <c r="G22" i="2"/>
  <c r="H18" i="2"/>
  <c r="F22" i="2"/>
  <c r="H17" i="2"/>
  <c r="E22" i="2"/>
  <c r="H16" i="2"/>
  <c r="J18" i="2"/>
  <c r="J17" i="2"/>
  <c r="J16" i="2"/>
  <c r="I18" i="2"/>
  <c r="I17" i="2"/>
  <c r="I16" i="2"/>
  <c r="D15" i="2"/>
  <c r="D12" i="2"/>
  <c r="D11" i="2"/>
  <c r="D9" i="2"/>
  <c r="D10" i="2"/>
  <c r="E5" i="2"/>
  <c r="E4" i="2"/>
  <c r="I3" i="2"/>
  <c r="H3" i="2"/>
  <c r="G3" i="2"/>
  <c r="E3" i="2"/>
</calcChain>
</file>

<file path=xl/sharedStrings.xml><?xml version="1.0" encoding="utf-8"?>
<sst xmlns="http://schemas.openxmlformats.org/spreadsheetml/2006/main" count="411" uniqueCount="105">
  <si>
    <t>Task ID</t>
  </si>
  <si>
    <t>Task Name</t>
  </si>
  <si>
    <t>Department</t>
  </si>
  <si>
    <t>Status</t>
  </si>
  <si>
    <t>Start Date</t>
  </si>
  <si>
    <t>End Date</t>
  </si>
  <si>
    <t>Budgeted</t>
  </si>
  <si>
    <t>Actual</t>
  </si>
  <si>
    <t>Risk</t>
  </si>
  <si>
    <t>Issue</t>
  </si>
  <si>
    <t>T101</t>
  </si>
  <si>
    <t>Market Analysis</t>
  </si>
  <si>
    <t>Marketing</t>
  </si>
  <si>
    <t>Complete</t>
  </si>
  <si>
    <t>Low</t>
  </si>
  <si>
    <t>Resolved</t>
  </si>
  <si>
    <t>T102</t>
  </si>
  <si>
    <t>Site Audit</t>
  </si>
  <si>
    <t>IT</t>
  </si>
  <si>
    <t>Medium</t>
  </si>
  <si>
    <t>T103</t>
  </si>
  <si>
    <t>App Wireframes</t>
  </si>
  <si>
    <t>In Progress</t>
  </si>
  <si>
    <t>Revision</t>
  </si>
  <si>
    <t>T104</t>
  </si>
  <si>
    <t>Hiring Campaign</t>
  </si>
  <si>
    <t>HR</t>
  </si>
  <si>
    <t>High</t>
  </si>
  <si>
    <t>Pending</t>
  </si>
  <si>
    <t>T105</t>
  </si>
  <si>
    <t>Legal Review</t>
  </si>
  <si>
    <t>Legal</t>
  </si>
  <si>
    <t>Not Started</t>
  </si>
  <si>
    <t>Unresolved</t>
  </si>
  <si>
    <t>T106</t>
  </si>
  <si>
    <t>SEO Content</t>
  </si>
  <si>
    <t>T107</t>
  </si>
  <si>
    <t>Server Setup</t>
  </si>
  <si>
    <t>T108</t>
  </si>
  <si>
    <t>Onboarding Doc</t>
  </si>
  <si>
    <t>T109</t>
  </si>
  <si>
    <t>Budget Audit</t>
  </si>
  <si>
    <t>Finance</t>
  </si>
  <si>
    <t>T110</t>
  </si>
  <si>
    <t>UI Testing</t>
  </si>
  <si>
    <t>T111</t>
  </si>
  <si>
    <t>Social Media Ads</t>
  </si>
  <si>
    <t>T112</t>
  </si>
  <si>
    <t>Data Migration</t>
  </si>
  <si>
    <t>T113</t>
  </si>
  <si>
    <t>Safety Training</t>
  </si>
  <si>
    <t>Operations</t>
  </si>
  <si>
    <t>T114</t>
  </si>
  <si>
    <t>Procurement</t>
  </si>
  <si>
    <t>T115</t>
  </si>
  <si>
    <t>Compliance Check</t>
  </si>
  <si>
    <t>T116</t>
  </si>
  <si>
    <t>Brand Refresh</t>
  </si>
  <si>
    <t>T117</t>
  </si>
  <si>
    <t>Security Patch</t>
  </si>
  <si>
    <t>T118</t>
  </si>
  <si>
    <t>Inventory Sync</t>
  </si>
  <si>
    <t>T119</t>
  </si>
  <si>
    <t>PR Outreach</t>
  </si>
  <si>
    <t>T120</t>
  </si>
  <si>
    <t>Cloud Backup</t>
  </si>
  <si>
    <t>T121</t>
  </si>
  <si>
    <t>Staff Workshop</t>
  </si>
  <si>
    <t>T122</t>
  </si>
  <si>
    <t>Client Contract</t>
  </si>
  <si>
    <t>T123</t>
  </si>
  <si>
    <t>API Docs</t>
  </si>
  <si>
    <t>T124</t>
  </si>
  <si>
    <t>Focus Groups</t>
  </si>
  <si>
    <t>T125</t>
  </si>
  <si>
    <t>Logistics Plan</t>
  </si>
  <si>
    <t>T126</t>
  </si>
  <si>
    <t>Code Review</t>
  </si>
  <si>
    <t>T127</t>
  </si>
  <si>
    <t>Email Setup</t>
  </si>
  <si>
    <t>T128</t>
  </si>
  <si>
    <t>Vendor Sourcing</t>
  </si>
  <si>
    <t>T129</t>
  </si>
  <si>
    <t>Lead Gen</t>
  </si>
  <si>
    <t>T130</t>
  </si>
  <si>
    <t>Risk Assessment</t>
  </si>
  <si>
    <t>Row Labels</t>
  </si>
  <si>
    <t>Grand Total</t>
  </si>
  <si>
    <t>Count of Status</t>
  </si>
  <si>
    <t>Remainder</t>
  </si>
  <si>
    <t>Projected</t>
  </si>
  <si>
    <t>Count of Risk</t>
  </si>
  <si>
    <t>Count of Issue</t>
  </si>
  <si>
    <t>progress</t>
  </si>
  <si>
    <t>budget</t>
  </si>
  <si>
    <t>schedule</t>
  </si>
  <si>
    <t>Projected Cost</t>
  </si>
  <si>
    <t>Actual Cost</t>
  </si>
  <si>
    <t>Tasks</t>
  </si>
  <si>
    <t>PROJECTED</t>
  </si>
  <si>
    <t>ACTUAL</t>
  </si>
  <si>
    <t>REMINDER</t>
  </si>
  <si>
    <t>BUDGET</t>
  </si>
  <si>
    <t>PROJECTS / TASKS</t>
  </si>
  <si>
    <t>Total Task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</si>
</sst>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0"/>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9"/>
      <name val="Segoe UI"/>
      <family val="2"/>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FF0000"/>
        <bgColor indexed="64"/>
      </patternFill>
    </fill>
    <fill>
      <patternFill patternType="solid">
        <fgColor theme="9" tint="-0.249977111117893"/>
        <bgColor indexed="64"/>
      </patternFill>
    </fill>
    <fill>
      <patternFill patternType="solid">
        <fgColor theme="9" tint="0.59999389629810485"/>
        <bgColor indexed="64"/>
      </patternFill>
    </fill>
    <fill>
      <patternFill patternType="solid">
        <fgColor theme="7" tint="0.39997558519241921"/>
        <bgColor indexed="64"/>
      </patternFill>
    </fill>
  </fills>
  <borders count="2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29">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9" fontId="0" fillId="0" borderId="0" xfId="42" applyFont="1"/>
    <xf numFmtId="0" fontId="0" fillId="0" borderId="10" xfId="0" applyBorder="1"/>
    <xf numFmtId="164" fontId="0" fillId="0" borderId="10" xfId="0" applyNumberFormat="1" applyBorder="1"/>
    <xf numFmtId="0" fontId="0" fillId="0" borderId="14" xfId="0" applyBorder="1"/>
    <xf numFmtId="0" fontId="0" fillId="0" borderId="15" xfId="0" applyBorder="1"/>
    <xf numFmtId="0" fontId="0" fillId="0" borderId="16" xfId="0" applyBorder="1"/>
    <xf numFmtId="0" fontId="18" fillId="34" borderId="11" xfId="0" applyFont="1" applyFill="1" applyBorder="1"/>
    <xf numFmtId="0" fontId="18" fillId="33" borderId="12" xfId="0" applyFont="1" applyFill="1" applyBorder="1"/>
    <xf numFmtId="0" fontId="18" fillId="35" borderId="13" xfId="0" applyFont="1" applyFill="1" applyBorder="1"/>
    <xf numFmtId="0" fontId="18" fillId="0" borderId="0" xfId="0" applyFont="1"/>
    <xf numFmtId="0" fontId="18" fillId="36" borderId="0" xfId="0" applyFont="1" applyFill="1"/>
    <xf numFmtId="0" fontId="18" fillId="37" borderId="0" xfId="0" applyFont="1" applyFill="1"/>
    <xf numFmtId="0" fontId="18" fillId="35" borderId="0" xfId="0" applyFont="1" applyFill="1"/>
    <xf numFmtId="0" fontId="0" fillId="0" borderId="15" xfId="0" applyBorder="1"/>
    <xf numFmtId="0" fontId="0" fillId="0" borderId="0" xfId="0"/>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23" xfId="0" applyBorder="1"/>
    <xf numFmtId="0" fontId="0" fillId="0" borderId="24" xfId="0" applyBorder="1"/>
    <xf numFmtId="0" fontId="0" fillId="0" borderId="25" xfId="0" applyBorder="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2">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lotArea>
      <c:layout/>
      <c:barChart>
        <c:barDir val="col"/>
        <c:grouping val="stacked"/>
        <c:varyColors val="0"/>
        <c:ser>
          <c:idx val="0"/>
          <c:order val="0"/>
          <c:spPr>
            <a:solidFill>
              <a:schemeClr val="accent1"/>
            </a:solidFill>
            <a:ln>
              <a:noFill/>
            </a:ln>
            <a:effectLst/>
          </c:spPr>
          <c:invertIfNegative val="0"/>
          <c:cat>
            <c:strRef>
              <c:f>Analytics!$G$2:$I$2</c:f>
              <c:strCache>
                <c:ptCount val="3"/>
                <c:pt idx="0">
                  <c:v>Projected</c:v>
                </c:pt>
                <c:pt idx="1">
                  <c:v>Actual</c:v>
                </c:pt>
                <c:pt idx="2">
                  <c:v>Remainder</c:v>
                </c:pt>
              </c:strCache>
            </c:strRef>
          </c:cat>
          <c:val>
            <c:numRef>
              <c:f>Analytics!$G$3:$I$3</c:f>
              <c:numCache>
                <c:formatCode>General</c:formatCode>
                <c:ptCount val="3"/>
                <c:pt idx="0">
                  <c:v>576000</c:v>
                </c:pt>
                <c:pt idx="1">
                  <c:v>284200</c:v>
                </c:pt>
                <c:pt idx="2">
                  <c:v>291800</c:v>
                </c:pt>
              </c:numCache>
            </c:numRef>
          </c:val>
          <c:extLst>
            <c:ext xmlns:c16="http://schemas.microsoft.com/office/drawing/2014/chart" uri="{C3380CC4-5D6E-409C-BE32-E72D297353CC}">
              <c16:uniqueId val="{00000000-446A-4E89-AE51-784D6D6EF978}"/>
            </c:ext>
          </c:extLst>
        </c:ser>
        <c:dLbls>
          <c:showLegendKey val="0"/>
          <c:showVal val="0"/>
          <c:showCatName val="0"/>
          <c:showSerName val="0"/>
          <c:showPercent val="0"/>
          <c:showBubbleSize val="0"/>
        </c:dLbls>
        <c:gapWidth val="150"/>
        <c:overlap val="100"/>
        <c:axId val="1748861504"/>
        <c:axId val="1748861984"/>
      </c:barChart>
      <c:catAx>
        <c:axId val="1748861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48861984"/>
        <c:crosses val="autoZero"/>
        <c:auto val="1"/>
        <c:lblAlgn val="ctr"/>
        <c:lblOffset val="100"/>
        <c:noMultiLvlLbl val="0"/>
      </c:catAx>
      <c:valAx>
        <c:axId val="1748861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488615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data.xlsx]Analytics!PivotTable2</c:name>
    <c:fmtId val="1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Analytics!$H$8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3D4-4313-8237-EC123D899E4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3D4-4313-8237-EC123D899E4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3D4-4313-8237-EC123D899E4E}"/>
              </c:ext>
            </c:extLst>
          </c:dPt>
          <c:cat>
            <c:strRef>
              <c:f>Analytics!$G$9:$G$12</c:f>
              <c:strCache>
                <c:ptCount val="3"/>
                <c:pt idx="0">
                  <c:v>Complete</c:v>
                </c:pt>
                <c:pt idx="1">
                  <c:v>In Progress</c:v>
                </c:pt>
                <c:pt idx="2">
                  <c:v>Not Started</c:v>
                </c:pt>
              </c:strCache>
            </c:strRef>
          </c:cat>
          <c:val>
            <c:numRef>
              <c:f>Analytics!$H$9:$H$12</c:f>
              <c:numCache>
                <c:formatCode>General</c:formatCode>
                <c:ptCount val="3"/>
                <c:pt idx="0">
                  <c:v>24</c:v>
                </c:pt>
                <c:pt idx="1">
                  <c:v>22</c:v>
                </c:pt>
                <c:pt idx="2">
                  <c:v>14</c:v>
                </c:pt>
              </c:numCache>
            </c:numRef>
          </c:val>
          <c:extLst>
            <c:ext xmlns:c16="http://schemas.microsoft.com/office/drawing/2014/chart" uri="{C3380CC4-5D6E-409C-BE32-E72D297353CC}">
              <c16:uniqueId val="{00000006-53D4-4313-8237-EC123D899E4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data.xlsx]Analytics!PivotTable5</c:name>
    <c:fmtId val="6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Analytics!$L$10</c:f>
              <c:strCache>
                <c:ptCount val="1"/>
                <c:pt idx="0">
                  <c:v>Total</c:v>
                </c:pt>
              </c:strCache>
            </c:strRef>
          </c:tx>
          <c:spPr>
            <a:solidFill>
              <a:schemeClr val="accent1"/>
            </a:solidFill>
            <a:ln>
              <a:noFill/>
            </a:ln>
            <a:effectLst/>
          </c:spPr>
          <c:invertIfNegative val="0"/>
          <c:cat>
            <c:strRef>
              <c:f>Analytics!$K$11:$K$15</c:f>
              <c:strCache>
                <c:ptCount val="4"/>
                <c:pt idx="0">
                  <c:v>Revision</c:v>
                </c:pt>
                <c:pt idx="1">
                  <c:v>Unresolved</c:v>
                </c:pt>
                <c:pt idx="2">
                  <c:v>Pending</c:v>
                </c:pt>
                <c:pt idx="3">
                  <c:v>Resolved</c:v>
                </c:pt>
              </c:strCache>
            </c:strRef>
          </c:cat>
          <c:val>
            <c:numRef>
              <c:f>Analytics!$L$11:$L$15</c:f>
              <c:numCache>
                <c:formatCode>General</c:formatCode>
                <c:ptCount val="4"/>
                <c:pt idx="0">
                  <c:v>8</c:v>
                </c:pt>
                <c:pt idx="1">
                  <c:v>10</c:v>
                </c:pt>
                <c:pt idx="2">
                  <c:v>18</c:v>
                </c:pt>
                <c:pt idx="3">
                  <c:v>24</c:v>
                </c:pt>
              </c:numCache>
            </c:numRef>
          </c:val>
          <c:extLst>
            <c:ext xmlns:c16="http://schemas.microsoft.com/office/drawing/2014/chart" uri="{C3380CC4-5D6E-409C-BE32-E72D297353CC}">
              <c16:uniqueId val="{00000000-1EAC-4717-9D01-EEE48B420A86}"/>
            </c:ext>
          </c:extLst>
        </c:ser>
        <c:dLbls>
          <c:showLegendKey val="0"/>
          <c:showVal val="0"/>
          <c:showCatName val="0"/>
          <c:showSerName val="0"/>
          <c:showPercent val="0"/>
          <c:showBubbleSize val="0"/>
        </c:dLbls>
        <c:gapWidth val="182"/>
        <c:axId val="1847292256"/>
        <c:axId val="1847292736"/>
      </c:barChart>
      <c:catAx>
        <c:axId val="18472922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847292736"/>
        <c:crosses val="autoZero"/>
        <c:auto val="1"/>
        <c:lblAlgn val="ctr"/>
        <c:lblOffset val="100"/>
        <c:noMultiLvlLbl val="0"/>
      </c:catAx>
      <c:valAx>
        <c:axId val="18472927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847292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data.xlsx]Analytics!PivotTable3</c:name>
    <c:fmtId val="3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Analytics!$L$2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827-4A38-B50E-D5009EA2834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827-4A38-B50E-D5009EA2834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827-4A38-B50E-D5009EA2834C}"/>
              </c:ext>
            </c:extLst>
          </c:dPt>
          <c:cat>
            <c:strRef>
              <c:f>Analytics!$K$3:$K$6</c:f>
              <c:strCache>
                <c:ptCount val="3"/>
                <c:pt idx="0">
                  <c:v>High</c:v>
                </c:pt>
                <c:pt idx="1">
                  <c:v>Medium</c:v>
                </c:pt>
                <c:pt idx="2">
                  <c:v>Low</c:v>
                </c:pt>
              </c:strCache>
            </c:strRef>
          </c:cat>
          <c:val>
            <c:numRef>
              <c:f>Analytics!$L$3:$L$6</c:f>
              <c:numCache>
                <c:formatCode>General</c:formatCode>
                <c:ptCount val="3"/>
                <c:pt idx="0">
                  <c:v>14</c:v>
                </c:pt>
                <c:pt idx="1">
                  <c:v>18</c:v>
                </c:pt>
                <c:pt idx="2">
                  <c:v>28</c:v>
                </c:pt>
              </c:numCache>
            </c:numRef>
          </c:val>
          <c:extLst>
            <c:ext xmlns:c16="http://schemas.microsoft.com/office/drawing/2014/chart" uri="{C3380CC4-5D6E-409C-BE32-E72D297353CC}">
              <c16:uniqueId val="{00000006-2827-4A38-B50E-D5009EA2834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85725</xdr:colOff>
      <xdr:row>0</xdr:row>
      <xdr:rowOff>38100</xdr:rowOff>
    </xdr:from>
    <xdr:to>
      <xdr:col>14</xdr:col>
      <xdr:colOff>452437</xdr:colOff>
      <xdr:row>47</xdr:row>
      <xdr:rowOff>83344</xdr:rowOff>
    </xdr:to>
    <xdr:sp macro="" textlink="">
      <xdr:nvSpPr>
        <xdr:cNvPr id="3" name="Rectangle: Rounded Corners 2">
          <a:extLst>
            <a:ext uri="{FF2B5EF4-FFF2-40B4-BE49-F238E27FC236}">
              <a16:creationId xmlns:a16="http://schemas.microsoft.com/office/drawing/2014/main" id="{947CDA0F-3AB0-79B5-7AAC-724F225793FC}"/>
            </a:ext>
          </a:extLst>
        </xdr:cNvPr>
        <xdr:cNvSpPr/>
      </xdr:nvSpPr>
      <xdr:spPr>
        <a:xfrm>
          <a:off x="85725" y="38100"/>
          <a:ext cx="8867775" cy="899874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editAs="oneCell">
    <xdr:from>
      <xdr:col>4</xdr:col>
      <xdr:colOff>319088</xdr:colOff>
      <xdr:row>11</xdr:row>
      <xdr:rowOff>14287</xdr:rowOff>
    </xdr:from>
    <xdr:to>
      <xdr:col>7</xdr:col>
      <xdr:colOff>319088</xdr:colOff>
      <xdr:row>22</xdr:row>
      <xdr:rowOff>42862</xdr:rowOff>
    </xdr:to>
    <mc:AlternateContent xmlns:mc="http://schemas.openxmlformats.org/markup-compatibility/2006">
      <mc:Choice xmlns:a14="http://schemas.microsoft.com/office/drawing/2010/main" Requires="a14">
        <xdr:graphicFrame macro="">
          <xdr:nvGraphicFramePr>
            <xdr:cNvPr id="10" name="Department">
              <a:extLst>
                <a:ext uri="{FF2B5EF4-FFF2-40B4-BE49-F238E27FC236}">
                  <a16:creationId xmlns:a16="http://schemas.microsoft.com/office/drawing/2014/main" id="{5658AE90-B9EE-43A8-02A3-BB163A4B2303}"/>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2747963" y="2109787"/>
              <a:ext cx="1821656" cy="212407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147643</xdr:colOff>
      <xdr:row>3</xdr:row>
      <xdr:rowOff>130965</xdr:rowOff>
    </xdr:from>
    <xdr:to>
      <xdr:col>14</xdr:col>
      <xdr:colOff>95249</xdr:colOff>
      <xdr:row>8</xdr:row>
      <xdr:rowOff>119062</xdr:rowOff>
    </xdr:to>
    <xdr:sp macro="" textlink="">
      <xdr:nvSpPr>
        <xdr:cNvPr id="14" name="Rectangle: Rounded Corners 13">
          <a:extLst>
            <a:ext uri="{FF2B5EF4-FFF2-40B4-BE49-F238E27FC236}">
              <a16:creationId xmlns:a16="http://schemas.microsoft.com/office/drawing/2014/main" id="{3E6A1DAA-06AD-6E28-3EC4-7D22655985C4}"/>
            </a:ext>
          </a:extLst>
        </xdr:cNvPr>
        <xdr:cNvSpPr/>
      </xdr:nvSpPr>
      <xdr:spPr>
        <a:xfrm>
          <a:off x="147643" y="702465"/>
          <a:ext cx="8448669" cy="940597"/>
        </a:xfrm>
        <a:prstGeom prst="roundRect">
          <a:avLst/>
        </a:prstGeom>
        <a:solidFill>
          <a:schemeClr val="bg1">
            <a:lumMod val="85000"/>
          </a:schemeClr>
        </a:solidFill>
        <a:effectLst>
          <a:outerShdw blurRad="50800" dist="50800" dir="600000" algn="ctr" rotWithShape="0">
            <a:srgbClr val="000000">
              <a:alpha val="43137"/>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35718</xdr:colOff>
      <xdr:row>9</xdr:row>
      <xdr:rowOff>185738</xdr:rowOff>
    </xdr:from>
    <xdr:to>
      <xdr:col>3</xdr:col>
      <xdr:colOff>566737</xdr:colOff>
      <xdr:row>20</xdr:row>
      <xdr:rowOff>119063</xdr:rowOff>
    </xdr:to>
    <xdr:sp macro="" textlink="">
      <xdr:nvSpPr>
        <xdr:cNvPr id="15" name="Rectangle: Rounded Corners 14">
          <a:extLst>
            <a:ext uri="{FF2B5EF4-FFF2-40B4-BE49-F238E27FC236}">
              <a16:creationId xmlns:a16="http://schemas.microsoft.com/office/drawing/2014/main" id="{3ED91C4F-FACB-C5F1-C9E7-80CB07C601AF}"/>
            </a:ext>
          </a:extLst>
        </xdr:cNvPr>
        <xdr:cNvSpPr/>
      </xdr:nvSpPr>
      <xdr:spPr>
        <a:xfrm>
          <a:off x="35718" y="1900238"/>
          <a:ext cx="2352675" cy="2028825"/>
        </a:xfrm>
        <a:prstGeom prst="roundRect">
          <a:avLst/>
        </a:prstGeom>
        <a:solidFill>
          <a:schemeClr val="bg1">
            <a:lumMod val="85000"/>
          </a:schemeClr>
        </a:solidFill>
        <a:effectLst>
          <a:outerShdw blurRad="50800" dist="50800" dir="600000" algn="ctr" rotWithShape="0">
            <a:srgbClr val="000000">
              <a:alpha val="43137"/>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NG" sz="1100">
            <a:solidFill>
              <a:schemeClr val="lt1"/>
            </a:solidFill>
            <a:latin typeface="+mn-lt"/>
            <a:ea typeface="+mn-ea"/>
            <a:cs typeface="+mn-cs"/>
          </a:endParaRPr>
        </a:p>
      </xdr:txBody>
    </xdr:sp>
    <xdr:clientData/>
  </xdr:twoCellAnchor>
  <xdr:twoCellAnchor>
    <xdr:from>
      <xdr:col>8</xdr:col>
      <xdr:colOff>166687</xdr:colOff>
      <xdr:row>9</xdr:row>
      <xdr:rowOff>95249</xdr:rowOff>
    </xdr:from>
    <xdr:to>
      <xdr:col>14</xdr:col>
      <xdr:colOff>130967</xdr:colOff>
      <xdr:row>27</xdr:row>
      <xdr:rowOff>190498</xdr:rowOff>
    </xdr:to>
    <xdr:sp macro="" textlink="">
      <xdr:nvSpPr>
        <xdr:cNvPr id="17" name="Rectangle: Rounded Corners 16">
          <a:extLst>
            <a:ext uri="{FF2B5EF4-FFF2-40B4-BE49-F238E27FC236}">
              <a16:creationId xmlns:a16="http://schemas.microsoft.com/office/drawing/2014/main" id="{7670E347-440B-EAE6-FC62-D4DF633D6B98}"/>
            </a:ext>
          </a:extLst>
        </xdr:cNvPr>
        <xdr:cNvSpPr/>
      </xdr:nvSpPr>
      <xdr:spPr>
        <a:xfrm>
          <a:off x="5024437" y="1809749"/>
          <a:ext cx="3607593" cy="3524249"/>
        </a:xfrm>
        <a:prstGeom prst="roundRect">
          <a:avLst/>
        </a:prstGeom>
        <a:solidFill>
          <a:schemeClr val="bg1">
            <a:lumMod val="85000"/>
          </a:schemeClr>
        </a:solidFill>
        <a:effectLst>
          <a:outerShdw blurRad="50800" dist="50800" dir="600000" algn="ctr" rotWithShape="0">
            <a:srgbClr val="000000">
              <a:alpha val="43137"/>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NG" sz="1100">
            <a:solidFill>
              <a:schemeClr val="lt1"/>
            </a:solidFill>
            <a:latin typeface="+mn-lt"/>
            <a:ea typeface="+mn-ea"/>
            <a:cs typeface="+mn-cs"/>
          </a:endParaRPr>
        </a:p>
      </xdr:txBody>
    </xdr:sp>
    <xdr:clientData/>
  </xdr:twoCellAnchor>
  <xdr:twoCellAnchor>
    <xdr:from>
      <xdr:col>6</xdr:col>
      <xdr:colOff>114299</xdr:colOff>
      <xdr:row>0</xdr:row>
      <xdr:rowOff>48816</xdr:rowOff>
    </xdr:from>
    <xdr:to>
      <xdr:col>12</xdr:col>
      <xdr:colOff>1</xdr:colOff>
      <xdr:row>2</xdr:row>
      <xdr:rowOff>119062</xdr:rowOff>
    </xdr:to>
    <xdr:sp macro="" textlink="">
      <xdr:nvSpPr>
        <xdr:cNvPr id="12" name="TextBox 11">
          <a:extLst>
            <a:ext uri="{FF2B5EF4-FFF2-40B4-BE49-F238E27FC236}">
              <a16:creationId xmlns:a16="http://schemas.microsoft.com/office/drawing/2014/main" id="{4D0DC3C8-7239-A463-48A9-FAAE7E7B1A8E}"/>
            </a:ext>
          </a:extLst>
        </xdr:cNvPr>
        <xdr:cNvSpPr txBox="1"/>
      </xdr:nvSpPr>
      <xdr:spPr>
        <a:xfrm>
          <a:off x="3757612" y="48816"/>
          <a:ext cx="3529014" cy="45124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a:t>PROJECT</a:t>
          </a:r>
          <a:r>
            <a:rPr lang="en-US" sz="3200" baseline="0"/>
            <a:t> TOPIC</a:t>
          </a:r>
          <a:endParaRPr lang="en-NG" sz="3200"/>
        </a:p>
      </xdr:txBody>
    </xdr:sp>
    <xdr:clientData/>
  </xdr:twoCellAnchor>
  <xdr:twoCellAnchor>
    <xdr:from>
      <xdr:col>0</xdr:col>
      <xdr:colOff>102394</xdr:colOff>
      <xdr:row>27</xdr:row>
      <xdr:rowOff>178594</xdr:rowOff>
    </xdr:from>
    <xdr:to>
      <xdr:col>6</xdr:col>
      <xdr:colOff>369093</xdr:colOff>
      <xdr:row>45</xdr:row>
      <xdr:rowOff>142875</xdr:rowOff>
    </xdr:to>
    <xdr:sp macro="" textlink="">
      <xdr:nvSpPr>
        <xdr:cNvPr id="16" name="Rectangle: Rounded Corners 15">
          <a:extLst>
            <a:ext uri="{FF2B5EF4-FFF2-40B4-BE49-F238E27FC236}">
              <a16:creationId xmlns:a16="http://schemas.microsoft.com/office/drawing/2014/main" id="{D9430939-41DE-5DF5-7E83-9853ED7AC9D5}"/>
            </a:ext>
          </a:extLst>
        </xdr:cNvPr>
        <xdr:cNvSpPr/>
      </xdr:nvSpPr>
      <xdr:spPr>
        <a:xfrm>
          <a:off x="102394" y="5322094"/>
          <a:ext cx="3910012" cy="3393281"/>
        </a:xfrm>
        <a:prstGeom prst="roundRect">
          <a:avLst/>
        </a:prstGeom>
        <a:solidFill>
          <a:schemeClr val="bg1">
            <a:lumMod val="85000"/>
          </a:schemeClr>
        </a:solidFill>
        <a:effectLst>
          <a:outerShdw blurRad="50800" dist="50800" dir="600000" algn="ctr" rotWithShape="0">
            <a:srgbClr val="000000">
              <a:alpha val="43137"/>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NG" sz="1100">
            <a:solidFill>
              <a:schemeClr val="lt1"/>
            </a:solidFill>
            <a:latin typeface="+mn-lt"/>
            <a:ea typeface="+mn-ea"/>
            <a:cs typeface="+mn-cs"/>
          </a:endParaRPr>
        </a:p>
      </xdr:txBody>
    </xdr:sp>
    <xdr:clientData/>
  </xdr:twoCellAnchor>
  <xdr:twoCellAnchor>
    <xdr:from>
      <xdr:col>7</xdr:col>
      <xdr:colOff>50008</xdr:colOff>
      <xdr:row>28</xdr:row>
      <xdr:rowOff>83342</xdr:rowOff>
    </xdr:from>
    <xdr:to>
      <xdr:col>13</xdr:col>
      <xdr:colOff>571500</xdr:colOff>
      <xdr:row>47</xdr:row>
      <xdr:rowOff>23811</xdr:rowOff>
    </xdr:to>
    <xdr:sp macro="" textlink="">
      <xdr:nvSpPr>
        <xdr:cNvPr id="18" name="Rectangle: Rounded Corners 17">
          <a:extLst>
            <a:ext uri="{FF2B5EF4-FFF2-40B4-BE49-F238E27FC236}">
              <a16:creationId xmlns:a16="http://schemas.microsoft.com/office/drawing/2014/main" id="{16BA53DF-65AE-38EE-ADD1-45E1824C935F}"/>
            </a:ext>
          </a:extLst>
        </xdr:cNvPr>
        <xdr:cNvSpPr/>
      </xdr:nvSpPr>
      <xdr:spPr>
        <a:xfrm rot="16200000">
          <a:off x="4602957" y="5114924"/>
          <a:ext cx="3559969" cy="4164805"/>
        </a:xfrm>
        <a:prstGeom prst="roundRect">
          <a:avLst/>
        </a:prstGeom>
        <a:solidFill>
          <a:schemeClr val="bg1">
            <a:lumMod val="85000"/>
          </a:schemeClr>
        </a:solidFill>
        <a:effectLst>
          <a:outerShdw blurRad="50800" dist="50800" dir="600000" algn="ctr" rotWithShape="0">
            <a:srgbClr val="000000">
              <a:alpha val="43137"/>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NG" sz="1100">
            <a:solidFill>
              <a:schemeClr val="lt1"/>
            </a:solidFill>
            <a:latin typeface="+mn-lt"/>
            <a:ea typeface="+mn-ea"/>
            <a:cs typeface="+mn-cs"/>
          </a:endParaRPr>
        </a:p>
      </xdr:txBody>
    </xdr:sp>
    <xdr:clientData/>
  </xdr:twoCellAnchor>
  <xdr:twoCellAnchor>
    <xdr:from>
      <xdr:col>8</xdr:col>
      <xdr:colOff>259555</xdr:colOff>
      <xdr:row>11</xdr:row>
      <xdr:rowOff>11906</xdr:rowOff>
    </xdr:from>
    <xdr:to>
      <xdr:col>13</xdr:col>
      <xdr:colOff>345280</xdr:colOff>
      <xdr:row>26</xdr:row>
      <xdr:rowOff>11905</xdr:rowOff>
    </xdr:to>
    <xdr:graphicFrame macro="">
      <xdr:nvGraphicFramePr>
        <xdr:cNvPr id="21" name="Chart 20">
          <a:extLst>
            <a:ext uri="{FF2B5EF4-FFF2-40B4-BE49-F238E27FC236}">
              <a16:creationId xmlns:a16="http://schemas.microsoft.com/office/drawing/2014/main" id="{63AB3678-CE81-4B5F-8AFE-0B6BC21B7F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10</xdr:row>
      <xdr:rowOff>78582</xdr:rowOff>
    </xdr:from>
    <xdr:to>
      <xdr:col>4</xdr:col>
      <xdr:colOff>59531</xdr:colOff>
      <xdr:row>21</xdr:row>
      <xdr:rowOff>35719</xdr:rowOff>
    </xdr:to>
    <xdr:graphicFrame macro="">
      <xdr:nvGraphicFramePr>
        <xdr:cNvPr id="22" name="Chart 21">
          <a:extLst>
            <a:ext uri="{FF2B5EF4-FFF2-40B4-BE49-F238E27FC236}">
              <a16:creationId xmlns:a16="http://schemas.microsoft.com/office/drawing/2014/main" id="{D3E9FC82-9299-44F4-A9D8-0D636D741B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150018</xdr:colOff>
      <xdr:row>29</xdr:row>
      <xdr:rowOff>47624</xdr:rowOff>
    </xdr:from>
    <xdr:to>
      <xdr:col>6</xdr:col>
      <xdr:colOff>166687</xdr:colOff>
      <xdr:row>44</xdr:row>
      <xdr:rowOff>11905</xdr:rowOff>
    </xdr:to>
    <xdr:graphicFrame macro="">
      <xdr:nvGraphicFramePr>
        <xdr:cNvPr id="24" name="Chart 23">
          <a:extLst>
            <a:ext uri="{FF2B5EF4-FFF2-40B4-BE49-F238E27FC236}">
              <a16:creationId xmlns:a16="http://schemas.microsoft.com/office/drawing/2014/main" id="{B68BEFA1-2BBC-43C0-B7CC-22BE232E02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133351</xdr:colOff>
      <xdr:row>29</xdr:row>
      <xdr:rowOff>23812</xdr:rowOff>
    </xdr:from>
    <xdr:to>
      <xdr:col>13</xdr:col>
      <xdr:colOff>238125</xdr:colOff>
      <xdr:row>46</xdr:row>
      <xdr:rowOff>109538</xdr:rowOff>
    </xdr:to>
    <xdr:graphicFrame macro="">
      <xdr:nvGraphicFramePr>
        <xdr:cNvPr id="25" name="Chart 24">
          <a:extLst>
            <a:ext uri="{FF2B5EF4-FFF2-40B4-BE49-F238E27FC236}">
              <a16:creationId xmlns:a16="http://schemas.microsoft.com/office/drawing/2014/main" id="{ED102842-2C5D-4A2B-98E1-BED7AF56AF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57150</xdr:colOff>
      <xdr:row>5</xdr:row>
      <xdr:rowOff>142874</xdr:rowOff>
    </xdr:from>
    <xdr:to>
      <xdr:col>2</xdr:col>
      <xdr:colOff>571500</xdr:colOff>
      <xdr:row>7</xdr:row>
      <xdr:rowOff>161925</xdr:rowOff>
    </xdr:to>
    <xdr:sp macro="" textlink="">
      <xdr:nvSpPr>
        <xdr:cNvPr id="27" name="Rectangle: Rounded Corners 26">
          <a:extLst>
            <a:ext uri="{FF2B5EF4-FFF2-40B4-BE49-F238E27FC236}">
              <a16:creationId xmlns:a16="http://schemas.microsoft.com/office/drawing/2014/main" id="{34D320FD-E12D-45D4-EC06-D75EB2B1E919}"/>
            </a:ext>
          </a:extLst>
        </xdr:cNvPr>
        <xdr:cNvSpPr/>
      </xdr:nvSpPr>
      <xdr:spPr>
        <a:xfrm>
          <a:off x="664369" y="1095374"/>
          <a:ext cx="1121569" cy="400051"/>
        </a:xfrm>
        <a:prstGeom prst="roundRect">
          <a:avLst/>
        </a:prstGeom>
        <a:solidFill>
          <a:schemeClr val="bg1">
            <a:lumMod val="85000"/>
          </a:schemeClr>
        </a:solidFill>
        <a:effectLst>
          <a:outerShdw blurRad="50800" dist="50800" dir="600000" algn="ctr" rotWithShape="0">
            <a:srgbClr val="000000">
              <a:alpha val="43137"/>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NG" sz="1100">
            <a:solidFill>
              <a:schemeClr val="lt1"/>
            </a:solidFill>
            <a:latin typeface="+mn-lt"/>
            <a:ea typeface="+mn-ea"/>
            <a:cs typeface="+mn-cs"/>
          </a:endParaRPr>
        </a:p>
      </xdr:txBody>
    </xdr:sp>
    <xdr:clientData/>
  </xdr:twoCellAnchor>
  <xdr:twoCellAnchor>
    <xdr:from>
      <xdr:col>6</xdr:col>
      <xdr:colOff>531018</xdr:colOff>
      <xdr:row>3</xdr:row>
      <xdr:rowOff>78581</xdr:rowOff>
    </xdr:from>
    <xdr:to>
      <xdr:col>9</xdr:col>
      <xdr:colOff>90488</xdr:colOff>
      <xdr:row>7</xdr:row>
      <xdr:rowOff>111919</xdr:rowOff>
    </xdr:to>
    <xdr:sp macro="" textlink="">
      <xdr:nvSpPr>
        <xdr:cNvPr id="28" name="Rectangle: Rounded Corners 27">
          <a:extLst>
            <a:ext uri="{FF2B5EF4-FFF2-40B4-BE49-F238E27FC236}">
              <a16:creationId xmlns:a16="http://schemas.microsoft.com/office/drawing/2014/main" id="{9C6746B8-07ED-A0A9-46F8-C98AAC7C4DCC}"/>
            </a:ext>
          </a:extLst>
        </xdr:cNvPr>
        <xdr:cNvSpPr/>
      </xdr:nvSpPr>
      <xdr:spPr>
        <a:xfrm>
          <a:off x="4174331" y="650081"/>
          <a:ext cx="1381126" cy="795338"/>
        </a:xfrm>
        <a:prstGeom prst="roundRect">
          <a:avLst/>
        </a:prstGeom>
        <a:solidFill>
          <a:schemeClr val="bg1">
            <a:lumMod val="85000"/>
          </a:schemeClr>
        </a:solidFill>
        <a:effectLst>
          <a:outerShdw blurRad="50800" dist="50800" dir="600000" algn="ctr" rotWithShape="0">
            <a:srgbClr val="000000">
              <a:alpha val="43137"/>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NG" sz="1100">
            <a:solidFill>
              <a:schemeClr val="lt1"/>
            </a:solidFill>
            <a:latin typeface="+mn-lt"/>
            <a:ea typeface="+mn-ea"/>
            <a:cs typeface="+mn-cs"/>
          </a:endParaRPr>
        </a:p>
      </xdr:txBody>
    </xdr:sp>
    <xdr:clientData/>
  </xdr:twoCellAnchor>
  <xdr:twoCellAnchor>
    <xdr:from>
      <xdr:col>9</xdr:col>
      <xdr:colOff>516731</xdr:colOff>
      <xdr:row>3</xdr:row>
      <xdr:rowOff>88106</xdr:rowOff>
    </xdr:from>
    <xdr:to>
      <xdr:col>12</xdr:col>
      <xdr:colOff>76201</xdr:colOff>
      <xdr:row>7</xdr:row>
      <xdr:rowOff>121444</xdr:rowOff>
    </xdr:to>
    <xdr:sp macro="" textlink="">
      <xdr:nvSpPr>
        <xdr:cNvPr id="29" name="Rectangle: Rounded Corners 28">
          <a:extLst>
            <a:ext uri="{FF2B5EF4-FFF2-40B4-BE49-F238E27FC236}">
              <a16:creationId xmlns:a16="http://schemas.microsoft.com/office/drawing/2014/main" id="{262710C5-AFCA-221A-EB35-EA7DB7065463}"/>
            </a:ext>
          </a:extLst>
        </xdr:cNvPr>
        <xdr:cNvSpPr/>
      </xdr:nvSpPr>
      <xdr:spPr>
        <a:xfrm>
          <a:off x="5981700" y="659606"/>
          <a:ext cx="1381126" cy="795338"/>
        </a:xfrm>
        <a:prstGeom prst="roundRect">
          <a:avLst/>
        </a:prstGeom>
        <a:solidFill>
          <a:schemeClr val="bg1">
            <a:lumMod val="85000"/>
          </a:schemeClr>
        </a:solidFill>
        <a:effectLst>
          <a:outerShdw blurRad="50800" dist="50800" dir="600000" algn="ctr" rotWithShape="0">
            <a:srgbClr val="000000">
              <a:alpha val="43137"/>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NG" sz="1100">
            <a:solidFill>
              <a:schemeClr val="lt1"/>
            </a:solidFill>
            <a:latin typeface="+mn-lt"/>
            <a:ea typeface="+mn-ea"/>
            <a:cs typeface="+mn-cs"/>
          </a:endParaRPr>
        </a:p>
      </xdr:txBody>
    </xdr:sp>
    <xdr:clientData/>
  </xdr:twoCellAnchor>
  <xdr:twoCellAnchor>
    <xdr:from>
      <xdr:col>12</xdr:col>
      <xdr:colOff>502444</xdr:colOff>
      <xdr:row>3</xdr:row>
      <xdr:rowOff>97631</xdr:rowOff>
    </xdr:from>
    <xdr:to>
      <xdr:col>15</xdr:col>
      <xdr:colOff>61914</xdr:colOff>
      <xdr:row>7</xdr:row>
      <xdr:rowOff>130969</xdr:rowOff>
    </xdr:to>
    <xdr:sp macro="" textlink="">
      <xdr:nvSpPr>
        <xdr:cNvPr id="30" name="Rectangle: Rounded Corners 29">
          <a:extLst>
            <a:ext uri="{FF2B5EF4-FFF2-40B4-BE49-F238E27FC236}">
              <a16:creationId xmlns:a16="http://schemas.microsoft.com/office/drawing/2014/main" id="{0631F1D3-170F-3920-487F-BC286C88AEE8}"/>
            </a:ext>
          </a:extLst>
        </xdr:cNvPr>
        <xdr:cNvSpPr/>
      </xdr:nvSpPr>
      <xdr:spPr>
        <a:xfrm>
          <a:off x="7789069" y="669131"/>
          <a:ext cx="1381126" cy="795338"/>
        </a:xfrm>
        <a:prstGeom prst="roundRect">
          <a:avLst/>
        </a:prstGeom>
        <a:solidFill>
          <a:schemeClr val="bg1">
            <a:lumMod val="85000"/>
          </a:schemeClr>
        </a:solidFill>
        <a:effectLst>
          <a:outerShdw blurRad="50800" dist="50800" dir="600000" algn="ctr" rotWithShape="0">
            <a:srgbClr val="000000">
              <a:alpha val="43137"/>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NG" sz="1100">
            <a:solidFill>
              <a:schemeClr val="lt1"/>
            </a:solidFill>
            <a:latin typeface="+mn-lt"/>
            <a:ea typeface="+mn-ea"/>
            <a:cs typeface="+mn-cs"/>
          </a:endParaRPr>
        </a:p>
      </xdr:txBody>
    </xdr:sp>
    <xdr:clientData/>
  </xdr:twoCellAnchor>
  <xdr:oneCellAnchor>
    <xdr:from>
      <xdr:col>1</xdr:col>
      <xdr:colOff>119061</xdr:colOff>
      <xdr:row>3</xdr:row>
      <xdr:rowOff>178596</xdr:rowOff>
    </xdr:from>
    <xdr:ext cx="1095375" cy="345280"/>
    <xdr:sp macro="" textlink="">
      <xdr:nvSpPr>
        <xdr:cNvPr id="32" name="TextBox 31">
          <a:extLst>
            <a:ext uri="{FF2B5EF4-FFF2-40B4-BE49-F238E27FC236}">
              <a16:creationId xmlns:a16="http://schemas.microsoft.com/office/drawing/2014/main" id="{14A24092-709C-5AC7-6425-F6157C01899D}"/>
            </a:ext>
          </a:extLst>
        </xdr:cNvPr>
        <xdr:cNvSpPr txBox="1"/>
      </xdr:nvSpPr>
      <xdr:spPr>
        <a:xfrm>
          <a:off x="726280" y="750096"/>
          <a:ext cx="1095375" cy="3452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TOTAL</a:t>
          </a:r>
          <a:r>
            <a:rPr lang="en-US" sz="1100" baseline="0"/>
            <a:t> SALES</a:t>
          </a:r>
        </a:p>
        <a:p>
          <a:endParaRPr lang="en-US" sz="1100" baseline="0"/>
        </a:p>
        <a:p>
          <a:endParaRPr lang="en-NG" sz="1100"/>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ecious" refreshedDate="46062.746055671298" createdVersion="8" refreshedVersion="8" minRefreshableVersion="3" recordCount="60" xr:uid="{A2C21A87-1513-4953-AE04-76FE87903500}">
  <cacheSource type="worksheet">
    <worksheetSource name="Table1"/>
  </cacheSource>
  <cacheFields count="10">
    <cacheField name="Task ID" numFmtId="0">
      <sharedItems/>
    </cacheField>
    <cacheField name="Task Name" numFmtId="0">
      <sharedItems/>
    </cacheField>
    <cacheField name="Department" numFmtId="0">
      <sharedItems count="6">
        <s v="Marketing"/>
        <s v="IT"/>
        <s v="HR"/>
        <s v="Legal"/>
        <s v="Finance"/>
        <s v="Operations"/>
      </sharedItems>
    </cacheField>
    <cacheField name="Status" numFmtId="0">
      <sharedItems count="3">
        <s v="Complete"/>
        <s v="In Progress"/>
        <s v="Not Started"/>
      </sharedItems>
    </cacheField>
    <cacheField name="Start Date" numFmtId="14">
      <sharedItems containsSemiMixedTypes="0" containsNonDate="0" containsDate="1" containsString="0" minDate="2025-01-01T00:00:00" maxDate="2025-05-02T00:00:00"/>
    </cacheField>
    <cacheField name="End Date" numFmtId="14">
      <sharedItems containsSemiMixedTypes="0" containsNonDate="0" containsDate="1" containsString="0" minDate="2025-01-03T00:00:00" maxDate="2025-06-02T00:00:00"/>
    </cacheField>
    <cacheField name="Budgeted" numFmtId="0">
      <sharedItems containsSemiMixedTypes="0" containsString="0" containsNumber="1" containsInteger="1" minValue="1000" maxValue="30000" count="22">
        <n v="5000"/>
        <n v="8000"/>
        <n v="15000"/>
        <n v="12000"/>
        <n v="3000"/>
        <n v="4500"/>
        <n v="25000"/>
        <n v="2000"/>
        <n v="3500"/>
        <n v="9000"/>
        <n v="10000"/>
        <n v="30000"/>
        <n v="6000"/>
        <n v="18000"/>
        <n v="22000"/>
        <n v="2500"/>
        <n v="7500"/>
        <n v="11000"/>
        <n v="4000"/>
        <n v="14000"/>
        <n v="1000"/>
        <n v="20000"/>
      </sharedItems>
    </cacheField>
    <cacheField name="Actual" numFmtId="0">
      <sharedItems containsSemiMixedTypes="0" containsString="0" containsNumber="1" containsInteger="1" minValue="0" maxValue="15000"/>
    </cacheField>
    <cacheField name="Risk" numFmtId="0">
      <sharedItems count="3">
        <s v="Low"/>
        <s v="Medium"/>
        <s v="High"/>
      </sharedItems>
    </cacheField>
    <cacheField name="Issue" numFmtId="0">
      <sharedItems count="4">
        <s v="Resolved"/>
        <s v="Revision"/>
        <s v="Pending"/>
        <s v="Unresolved"/>
      </sharedItems>
    </cacheField>
  </cacheFields>
  <extLst>
    <ext xmlns:x14="http://schemas.microsoft.com/office/spreadsheetml/2009/9/main" uri="{725AE2AE-9491-48be-B2B4-4EB974FC3084}">
      <x14:pivotCacheDefinition pivotCacheId="13984907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s v="T101"/>
    <s v="Market Analysis"/>
    <x v="0"/>
    <x v="0"/>
    <d v="2025-01-01T00:00:00"/>
    <d v="2025-01-15T00:00:00"/>
    <x v="0"/>
    <n v="4800"/>
    <x v="0"/>
    <x v="0"/>
  </r>
  <r>
    <s v="T102"/>
    <s v="Site Audit"/>
    <x v="1"/>
    <x v="0"/>
    <d v="2025-01-05T00:00:00"/>
    <d v="2025-01-20T00:00:00"/>
    <x v="1"/>
    <n v="8200"/>
    <x v="1"/>
    <x v="0"/>
  </r>
  <r>
    <s v="T103"/>
    <s v="App Wireframes"/>
    <x v="1"/>
    <x v="1"/>
    <d v="2025-01-10T00:00:00"/>
    <d v="2025-02-15T00:00:00"/>
    <x v="2"/>
    <n v="7000"/>
    <x v="0"/>
    <x v="1"/>
  </r>
  <r>
    <s v="T104"/>
    <s v="Hiring Campaign"/>
    <x v="2"/>
    <x v="1"/>
    <d v="2025-01-15T00:00:00"/>
    <d v="2025-03-01T00:00:00"/>
    <x v="3"/>
    <n v="5000"/>
    <x v="2"/>
    <x v="2"/>
  </r>
  <r>
    <s v="T105"/>
    <s v="Legal Review"/>
    <x v="3"/>
    <x v="2"/>
    <d v="2025-02-01T00:00:00"/>
    <d v="2025-02-15T00:00:00"/>
    <x v="4"/>
    <n v="0"/>
    <x v="1"/>
    <x v="3"/>
  </r>
  <r>
    <s v="T106"/>
    <s v="SEO Content"/>
    <x v="0"/>
    <x v="0"/>
    <d v="2025-01-02T00:00:00"/>
    <d v="2025-01-20T00:00:00"/>
    <x v="5"/>
    <n v="4500"/>
    <x v="0"/>
    <x v="0"/>
  </r>
  <r>
    <s v="T107"/>
    <s v="Server Setup"/>
    <x v="1"/>
    <x v="1"/>
    <d v="2025-01-20T00:00:00"/>
    <d v="2025-03-15T00:00:00"/>
    <x v="6"/>
    <n v="12000"/>
    <x v="2"/>
    <x v="2"/>
  </r>
  <r>
    <s v="T108"/>
    <s v="Onboarding Doc"/>
    <x v="2"/>
    <x v="2"/>
    <d v="2025-03-01T00:00:00"/>
    <d v="2025-03-15T00:00:00"/>
    <x v="7"/>
    <n v="0"/>
    <x v="0"/>
    <x v="2"/>
  </r>
  <r>
    <s v="T109"/>
    <s v="Budget Audit"/>
    <x v="4"/>
    <x v="0"/>
    <d v="2025-01-01T00:00:00"/>
    <d v="2025-01-10T00:00:00"/>
    <x v="8"/>
    <n v="3400"/>
    <x v="0"/>
    <x v="0"/>
  </r>
  <r>
    <s v="T110"/>
    <s v="UI Testing"/>
    <x v="1"/>
    <x v="2"/>
    <d v="2025-03-15T00:00:00"/>
    <d v="2025-04-15T00:00:00"/>
    <x v="9"/>
    <n v="0"/>
    <x v="1"/>
    <x v="3"/>
  </r>
  <r>
    <s v="T111"/>
    <s v="Social Media Ads"/>
    <x v="0"/>
    <x v="1"/>
    <d v="2025-01-10T00:00:00"/>
    <d v="2025-02-28T00:00:00"/>
    <x v="10"/>
    <n v="6000"/>
    <x v="0"/>
    <x v="1"/>
  </r>
  <r>
    <s v="T112"/>
    <s v="Data Migration"/>
    <x v="1"/>
    <x v="1"/>
    <d v="2025-01-25T00:00:00"/>
    <d v="2025-04-01T00:00:00"/>
    <x v="11"/>
    <n v="15000"/>
    <x v="2"/>
    <x v="2"/>
  </r>
  <r>
    <s v="T113"/>
    <s v="Safety Training"/>
    <x v="5"/>
    <x v="0"/>
    <d v="2025-01-05T00:00:00"/>
    <d v="2025-01-15T00:00:00"/>
    <x v="12"/>
    <n v="6200"/>
    <x v="1"/>
    <x v="0"/>
  </r>
  <r>
    <s v="T114"/>
    <s v="Procurement"/>
    <x v="5"/>
    <x v="1"/>
    <d v="2025-01-20T00:00:00"/>
    <d v="2025-03-10T00:00:00"/>
    <x v="13"/>
    <n v="9000"/>
    <x v="0"/>
    <x v="2"/>
  </r>
  <r>
    <s v="T115"/>
    <s v="Compliance Check"/>
    <x v="3"/>
    <x v="2"/>
    <d v="2025-03-01T00:00:00"/>
    <d v="2025-03-20T00:00:00"/>
    <x v="0"/>
    <n v="0"/>
    <x v="2"/>
    <x v="3"/>
  </r>
  <r>
    <s v="T116"/>
    <s v="Brand Refresh"/>
    <x v="0"/>
    <x v="1"/>
    <d v="2025-01-15T00:00:00"/>
    <d v="2025-04-01T00:00:00"/>
    <x v="14"/>
    <n v="11000"/>
    <x v="1"/>
    <x v="1"/>
  </r>
  <r>
    <s v="T117"/>
    <s v="Security Patch"/>
    <x v="1"/>
    <x v="0"/>
    <d v="2025-01-10T00:00:00"/>
    <d v="2025-01-12T00:00:00"/>
    <x v="15"/>
    <n v="2500"/>
    <x v="0"/>
    <x v="0"/>
  </r>
  <r>
    <s v="T118"/>
    <s v="Inventory Sync"/>
    <x v="5"/>
    <x v="2"/>
    <d v="2025-04-01T00:00:00"/>
    <d v="2025-04-15T00:00:00"/>
    <x v="16"/>
    <n v="0"/>
    <x v="0"/>
    <x v="2"/>
  </r>
  <r>
    <s v="T119"/>
    <s v="PR Outreach"/>
    <x v="0"/>
    <x v="0"/>
    <d v="2025-01-01T00:00:00"/>
    <d v="2025-01-25T00:00:00"/>
    <x v="1"/>
    <n v="8500"/>
    <x v="2"/>
    <x v="0"/>
  </r>
  <r>
    <s v="T120"/>
    <s v="Cloud Backup"/>
    <x v="1"/>
    <x v="1"/>
    <d v="2025-02-01T00:00:00"/>
    <d v="2025-03-01T00:00:00"/>
    <x v="17"/>
    <n v="4000"/>
    <x v="1"/>
    <x v="2"/>
  </r>
  <r>
    <s v="T121"/>
    <s v="Staff Workshop"/>
    <x v="2"/>
    <x v="0"/>
    <d v="2025-01-10T00:00:00"/>
    <d v="2025-01-12T00:00:00"/>
    <x v="18"/>
    <n v="4000"/>
    <x v="0"/>
    <x v="0"/>
  </r>
  <r>
    <s v="T122"/>
    <s v="Client Contract"/>
    <x v="3"/>
    <x v="1"/>
    <d v="2025-01-20T00:00:00"/>
    <d v="2025-02-15T00:00:00"/>
    <x v="12"/>
    <n v="3000"/>
    <x v="1"/>
    <x v="1"/>
  </r>
  <r>
    <s v="T123"/>
    <s v="API Docs"/>
    <x v="1"/>
    <x v="2"/>
    <d v="2025-04-10T00:00:00"/>
    <d v="2025-05-10T00:00:00"/>
    <x v="0"/>
    <n v="0"/>
    <x v="0"/>
    <x v="3"/>
  </r>
  <r>
    <s v="T124"/>
    <s v="Focus Groups"/>
    <x v="0"/>
    <x v="1"/>
    <d v="2025-02-01T00:00:00"/>
    <d v="2025-03-15T00:00:00"/>
    <x v="19"/>
    <n v="6000"/>
    <x v="2"/>
    <x v="2"/>
  </r>
  <r>
    <s v="T125"/>
    <s v="Logistics Plan"/>
    <x v="5"/>
    <x v="0"/>
    <d v="2025-01-15T00:00:00"/>
    <d v="2025-01-30T00:00:00"/>
    <x v="9"/>
    <n v="8800"/>
    <x v="0"/>
    <x v="0"/>
  </r>
  <r>
    <s v="T126"/>
    <s v="Code Review"/>
    <x v="1"/>
    <x v="0"/>
    <d v="2025-01-05T00:00:00"/>
    <d v="2025-01-10T00:00:00"/>
    <x v="4"/>
    <n v="3100"/>
    <x v="0"/>
    <x v="0"/>
  </r>
  <r>
    <s v="T127"/>
    <s v="Email Setup"/>
    <x v="1"/>
    <x v="0"/>
    <d v="2025-01-01T00:00:00"/>
    <d v="2025-01-03T00:00:00"/>
    <x v="20"/>
    <n v="900"/>
    <x v="0"/>
    <x v="0"/>
  </r>
  <r>
    <s v="T128"/>
    <s v="Vendor Sourcing"/>
    <x v="5"/>
    <x v="1"/>
    <d v="2025-02-10T00:00:00"/>
    <d v="2025-04-01T00:00:00"/>
    <x v="21"/>
    <n v="5000"/>
    <x v="1"/>
    <x v="2"/>
  </r>
  <r>
    <s v="T129"/>
    <s v="Lead Gen"/>
    <x v="0"/>
    <x v="2"/>
    <d v="2025-05-01T00:00:00"/>
    <d v="2025-06-01T00:00:00"/>
    <x v="2"/>
    <n v="0"/>
    <x v="1"/>
    <x v="3"/>
  </r>
  <r>
    <s v="T130"/>
    <s v="Risk Assessment"/>
    <x v="3"/>
    <x v="0"/>
    <d v="2025-01-10T00:00:00"/>
    <d v="2025-01-20T00:00:00"/>
    <x v="18"/>
    <n v="4200"/>
    <x v="2"/>
    <x v="0"/>
  </r>
  <r>
    <s v="T101"/>
    <s v="Market Analysis"/>
    <x v="0"/>
    <x v="0"/>
    <d v="2025-01-01T00:00:00"/>
    <d v="2025-01-15T00:00:00"/>
    <x v="0"/>
    <n v="4800"/>
    <x v="0"/>
    <x v="0"/>
  </r>
  <r>
    <s v="T102"/>
    <s v="Site Audit"/>
    <x v="1"/>
    <x v="0"/>
    <d v="2025-01-05T00:00:00"/>
    <d v="2025-01-20T00:00:00"/>
    <x v="1"/>
    <n v="8200"/>
    <x v="1"/>
    <x v="0"/>
  </r>
  <r>
    <s v="T103"/>
    <s v="App Wireframes"/>
    <x v="1"/>
    <x v="1"/>
    <d v="2025-01-10T00:00:00"/>
    <d v="2025-02-15T00:00:00"/>
    <x v="2"/>
    <n v="7000"/>
    <x v="0"/>
    <x v="1"/>
  </r>
  <r>
    <s v="T104"/>
    <s v="Hiring Campaign"/>
    <x v="2"/>
    <x v="1"/>
    <d v="2025-01-15T00:00:00"/>
    <d v="2025-03-01T00:00:00"/>
    <x v="3"/>
    <n v="5000"/>
    <x v="2"/>
    <x v="2"/>
  </r>
  <r>
    <s v="T105"/>
    <s v="Legal Review"/>
    <x v="3"/>
    <x v="2"/>
    <d v="2025-02-01T00:00:00"/>
    <d v="2025-02-15T00:00:00"/>
    <x v="4"/>
    <n v="0"/>
    <x v="1"/>
    <x v="3"/>
  </r>
  <r>
    <s v="T106"/>
    <s v="SEO Content"/>
    <x v="0"/>
    <x v="0"/>
    <d v="2025-01-02T00:00:00"/>
    <d v="2025-01-20T00:00:00"/>
    <x v="5"/>
    <n v="4500"/>
    <x v="0"/>
    <x v="0"/>
  </r>
  <r>
    <s v="T107"/>
    <s v="Server Setup"/>
    <x v="1"/>
    <x v="1"/>
    <d v="2025-01-20T00:00:00"/>
    <d v="2025-03-15T00:00:00"/>
    <x v="6"/>
    <n v="12000"/>
    <x v="2"/>
    <x v="2"/>
  </r>
  <r>
    <s v="T108"/>
    <s v="Onboarding Doc"/>
    <x v="2"/>
    <x v="2"/>
    <d v="2025-03-01T00:00:00"/>
    <d v="2025-03-15T00:00:00"/>
    <x v="7"/>
    <n v="0"/>
    <x v="0"/>
    <x v="2"/>
  </r>
  <r>
    <s v="T109"/>
    <s v="Budget Audit"/>
    <x v="4"/>
    <x v="0"/>
    <d v="2025-01-01T00:00:00"/>
    <d v="2025-01-10T00:00:00"/>
    <x v="8"/>
    <n v="3400"/>
    <x v="0"/>
    <x v="0"/>
  </r>
  <r>
    <s v="T110"/>
    <s v="UI Testing"/>
    <x v="1"/>
    <x v="2"/>
    <d v="2025-03-15T00:00:00"/>
    <d v="2025-04-15T00:00:00"/>
    <x v="9"/>
    <n v="0"/>
    <x v="1"/>
    <x v="3"/>
  </r>
  <r>
    <s v="T111"/>
    <s v="Social Media Ads"/>
    <x v="0"/>
    <x v="1"/>
    <d v="2025-01-10T00:00:00"/>
    <d v="2025-02-28T00:00:00"/>
    <x v="10"/>
    <n v="6000"/>
    <x v="0"/>
    <x v="1"/>
  </r>
  <r>
    <s v="T112"/>
    <s v="Data Migration"/>
    <x v="1"/>
    <x v="1"/>
    <d v="2025-01-25T00:00:00"/>
    <d v="2025-04-01T00:00:00"/>
    <x v="11"/>
    <n v="15000"/>
    <x v="2"/>
    <x v="2"/>
  </r>
  <r>
    <s v="T113"/>
    <s v="Safety Training"/>
    <x v="5"/>
    <x v="0"/>
    <d v="2025-01-05T00:00:00"/>
    <d v="2025-01-15T00:00:00"/>
    <x v="12"/>
    <n v="6200"/>
    <x v="1"/>
    <x v="0"/>
  </r>
  <r>
    <s v="T114"/>
    <s v="Procurement"/>
    <x v="5"/>
    <x v="1"/>
    <d v="2025-01-20T00:00:00"/>
    <d v="2025-03-10T00:00:00"/>
    <x v="13"/>
    <n v="9000"/>
    <x v="0"/>
    <x v="2"/>
  </r>
  <r>
    <s v="T115"/>
    <s v="Compliance Check"/>
    <x v="3"/>
    <x v="2"/>
    <d v="2025-03-01T00:00:00"/>
    <d v="2025-03-20T00:00:00"/>
    <x v="0"/>
    <n v="0"/>
    <x v="2"/>
    <x v="3"/>
  </r>
  <r>
    <s v="T116"/>
    <s v="Brand Refresh"/>
    <x v="0"/>
    <x v="1"/>
    <d v="2025-01-15T00:00:00"/>
    <d v="2025-04-01T00:00:00"/>
    <x v="14"/>
    <n v="11000"/>
    <x v="1"/>
    <x v="1"/>
  </r>
  <r>
    <s v="T117"/>
    <s v="Security Patch"/>
    <x v="1"/>
    <x v="0"/>
    <d v="2025-01-10T00:00:00"/>
    <d v="2025-01-12T00:00:00"/>
    <x v="15"/>
    <n v="2500"/>
    <x v="0"/>
    <x v="0"/>
  </r>
  <r>
    <s v="T118"/>
    <s v="Inventory Sync"/>
    <x v="5"/>
    <x v="2"/>
    <d v="2025-04-01T00:00:00"/>
    <d v="2025-04-15T00:00:00"/>
    <x v="16"/>
    <n v="0"/>
    <x v="0"/>
    <x v="2"/>
  </r>
  <r>
    <s v="T119"/>
    <s v="PR Outreach"/>
    <x v="0"/>
    <x v="0"/>
    <d v="2025-01-01T00:00:00"/>
    <d v="2025-01-25T00:00:00"/>
    <x v="1"/>
    <n v="8500"/>
    <x v="2"/>
    <x v="0"/>
  </r>
  <r>
    <s v="T120"/>
    <s v="Cloud Backup"/>
    <x v="1"/>
    <x v="1"/>
    <d v="2025-02-01T00:00:00"/>
    <d v="2025-03-01T00:00:00"/>
    <x v="17"/>
    <n v="4000"/>
    <x v="1"/>
    <x v="2"/>
  </r>
  <r>
    <s v="T121"/>
    <s v="Staff Workshop"/>
    <x v="2"/>
    <x v="0"/>
    <d v="2025-01-10T00:00:00"/>
    <d v="2025-01-12T00:00:00"/>
    <x v="18"/>
    <n v="4000"/>
    <x v="0"/>
    <x v="0"/>
  </r>
  <r>
    <s v="T122"/>
    <s v="Client Contract"/>
    <x v="3"/>
    <x v="1"/>
    <d v="2025-01-20T00:00:00"/>
    <d v="2025-02-15T00:00:00"/>
    <x v="12"/>
    <n v="3000"/>
    <x v="1"/>
    <x v="1"/>
  </r>
  <r>
    <s v="T123"/>
    <s v="API Docs"/>
    <x v="1"/>
    <x v="2"/>
    <d v="2025-04-10T00:00:00"/>
    <d v="2025-05-10T00:00:00"/>
    <x v="0"/>
    <n v="0"/>
    <x v="0"/>
    <x v="3"/>
  </r>
  <r>
    <s v="T124"/>
    <s v="Focus Groups"/>
    <x v="0"/>
    <x v="1"/>
    <d v="2025-02-01T00:00:00"/>
    <d v="2025-03-15T00:00:00"/>
    <x v="19"/>
    <n v="6000"/>
    <x v="2"/>
    <x v="2"/>
  </r>
  <r>
    <s v="T125"/>
    <s v="Logistics Plan"/>
    <x v="5"/>
    <x v="0"/>
    <d v="2025-01-15T00:00:00"/>
    <d v="2025-01-30T00:00:00"/>
    <x v="9"/>
    <n v="8800"/>
    <x v="0"/>
    <x v="0"/>
  </r>
  <r>
    <s v="T126"/>
    <s v="Code Review"/>
    <x v="1"/>
    <x v="0"/>
    <d v="2025-01-05T00:00:00"/>
    <d v="2025-01-10T00:00:00"/>
    <x v="4"/>
    <n v="3100"/>
    <x v="0"/>
    <x v="0"/>
  </r>
  <r>
    <s v="T127"/>
    <s v="Email Setup"/>
    <x v="1"/>
    <x v="0"/>
    <d v="2025-01-01T00:00:00"/>
    <d v="2025-01-03T00:00:00"/>
    <x v="20"/>
    <n v="900"/>
    <x v="0"/>
    <x v="0"/>
  </r>
  <r>
    <s v="T128"/>
    <s v="Vendor Sourcing"/>
    <x v="5"/>
    <x v="1"/>
    <d v="2025-02-10T00:00:00"/>
    <d v="2025-04-01T00:00:00"/>
    <x v="21"/>
    <n v="5000"/>
    <x v="1"/>
    <x v="2"/>
  </r>
  <r>
    <s v="T129"/>
    <s v="Lead Gen"/>
    <x v="0"/>
    <x v="2"/>
    <d v="2025-05-01T00:00:00"/>
    <d v="2025-06-01T00:00:00"/>
    <x v="2"/>
    <n v="0"/>
    <x v="1"/>
    <x v="3"/>
  </r>
  <r>
    <s v="T130"/>
    <s v="Risk Assessment"/>
    <x v="3"/>
    <x v="0"/>
    <d v="2025-01-10T00:00:00"/>
    <d v="2025-01-20T00:00:00"/>
    <x v="18"/>
    <n v="4200"/>
    <x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CE01F9B-9449-46B0-8CD8-953B2E161893}"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0">
  <location ref="K10:L15" firstHeaderRow="1" firstDataRow="1" firstDataCol="1"/>
  <pivotFields count="10">
    <pivotField showAll="0"/>
    <pivotField showAll="0"/>
    <pivotField showAll="0">
      <items count="7">
        <item x="4"/>
        <item x="2"/>
        <item x="1"/>
        <item x="3"/>
        <item x="0"/>
        <item x="5"/>
        <item t="default"/>
      </items>
    </pivotField>
    <pivotField showAll="0">
      <items count="4">
        <item x="0"/>
        <item x="1"/>
        <item x="2"/>
        <item t="default"/>
      </items>
    </pivotField>
    <pivotField numFmtId="14" showAll="0"/>
    <pivotField numFmtId="14" showAll="0"/>
    <pivotField showAll="0"/>
    <pivotField showAll="0"/>
    <pivotField showAll="0">
      <items count="4">
        <item x="2"/>
        <item x="0"/>
        <item x="1"/>
        <item t="default"/>
      </items>
    </pivotField>
    <pivotField axis="axisRow" dataField="1" showAll="0" sortType="ascending">
      <items count="5">
        <item x="2"/>
        <item x="0"/>
        <item x="1"/>
        <item x="3"/>
        <item t="default"/>
      </items>
      <autoSortScope>
        <pivotArea dataOnly="0" outline="0" fieldPosition="0">
          <references count="1">
            <reference field="4294967294" count="1" selected="0">
              <x v="0"/>
            </reference>
          </references>
        </pivotArea>
      </autoSortScope>
    </pivotField>
  </pivotFields>
  <rowFields count="1">
    <field x="9"/>
  </rowFields>
  <rowItems count="5">
    <i>
      <x v="2"/>
    </i>
    <i>
      <x v="3"/>
    </i>
    <i>
      <x/>
    </i>
    <i>
      <x v="1"/>
    </i>
    <i t="grand">
      <x/>
    </i>
  </rowItems>
  <colItems count="1">
    <i/>
  </colItems>
  <dataFields count="1">
    <dataField name="Count of Issue" fld="9" subtotal="count" baseField="0" baseItem="0"/>
  </dataFields>
  <chartFormats count="2">
    <chartFormat chart="29" format="3" series="1">
      <pivotArea type="data" outline="0" fieldPosition="0">
        <references count="1">
          <reference field="4294967294" count="1" selected="0">
            <x v="0"/>
          </reference>
        </references>
      </pivotArea>
    </chartFormat>
    <chartFormat chart="6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558DC0F-90BA-489E-98EB-A5B3D342ED5F}"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location ref="K2:L6" firstHeaderRow="1" firstDataRow="1" firstDataCol="1"/>
  <pivotFields count="10">
    <pivotField showAll="0"/>
    <pivotField showAll="0"/>
    <pivotField showAll="0">
      <items count="7">
        <item x="4"/>
        <item x="2"/>
        <item x="1"/>
        <item x="3"/>
        <item x="0"/>
        <item x="5"/>
        <item t="default"/>
      </items>
    </pivotField>
    <pivotField showAll="0">
      <items count="4">
        <item x="0"/>
        <item x="1"/>
        <item x="2"/>
        <item t="default"/>
      </items>
    </pivotField>
    <pivotField numFmtId="14" showAll="0"/>
    <pivotField numFmtId="14" showAll="0"/>
    <pivotField showAll="0"/>
    <pivotField showAll="0"/>
    <pivotField axis="axisRow" dataField="1" showAll="0" sortType="ascending">
      <items count="4">
        <item x="2"/>
        <item x="0"/>
        <item x="1"/>
        <item t="default"/>
      </items>
      <autoSortScope>
        <pivotArea dataOnly="0" outline="0" fieldPosition="0">
          <references count="1">
            <reference field="4294967294" count="1" selected="0">
              <x v="0"/>
            </reference>
          </references>
        </pivotArea>
      </autoSortScope>
    </pivotField>
    <pivotField showAll="0"/>
  </pivotFields>
  <rowFields count="1">
    <field x="8"/>
  </rowFields>
  <rowItems count="4">
    <i>
      <x/>
    </i>
    <i>
      <x v="2"/>
    </i>
    <i>
      <x v="1"/>
    </i>
    <i t="grand">
      <x/>
    </i>
  </rowItems>
  <colItems count="1">
    <i/>
  </colItems>
  <dataFields count="1">
    <dataField name="Count of Risk" fld="8" subtotal="count" baseField="0" baseItem="0"/>
  </dataFields>
  <chartFormats count="17">
    <chartFormat chart="6" format="9"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6" format="1" series="1">
      <pivotArea type="data" outline="0" fieldPosition="0">
        <references count="1">
          <reference field="4294967294" count="1" selected="0">
            <x v="0"/>
          </reference>
        </references>
      </pivotArea>
    </chartFormat>
    <chartFormat chart="36" format="2">
      <pivotArea type="data" outline="0" fieldPosition="0">
        <references count="2">
          <reference field="4294967294" count="1" selected="0">
            <x v="0"/>
          </reference>
          <reference field="8" count="1" selected="0">
            <x v="0"/>
          </reference>
        </references>
      </pivotArea>
    </chartFormat>
    <chartFormat chart="36" format="3">
      <pivotArea type="data" outline="0" fieldPosition="0">
        <references count="2">
          <reference field="4294967294" count="1" selected="0">
            <x v="0"/>
          </reference>
          <reference field="8" count="1" selected="0">
            <x v="2"/>
          </reference>
        </references>
      </pivotArea>
    </chartFormat>
    <chartFormat chart="36" format="4">
      <pivotArea type="data" outline="0" fieldPosition="0">
        <references count="2">
          <reference field="4294967294" count="1" selected="0">
            <x v="0"/>
          </reference>
          <reference field="8" count="1" selected="0">
            <x v="1"/>
          </reference>
        </references>
      </pivotArea>
    </chartFormat>
    <chartFormat chart="37" format="5" series="1">
      <pivotArea type="data" outline="0" fieldPosition="0">
        <references count="1">
          <reference field="4294967294" count="1" selected="0">
            <x v="0"/>
          </reference>
        </references>
      </pivotArea>
    </chartFormat>
    <chartFormat chart="37" format="6">
      <pivotArea type="data" outline="0" fieldPosition="0">
        <references count="2">
          <reference field="4294967294" count="1" selected="0">
            <x v="0"/>
          </reference>
          <reference field="8" count="1" selected="0">
            <x v="0"/>
          </reference>
        </references>
      </pivotArea>
    </chartFormat>
    <chartFormat chart="37" format="7">
      <pivotArea type="data" outline="0" fieldPosition="0">
        <references count="2">
          <reference field="4294967294" count="1" selected="0">
            <x v="0"/>
          </reference>
          <reference field="8" count="1" selected="0">
            <x v="2"/>
          </reference>
        </references>
      </pivotArea>
    </chartFormat>
    <chartFormat chart="37" format="8">
      <pivotArea type="data" outline="0" fieldPosition="0">
        <references count="2">
          <reference field="4294967294" count="1" selected="0">
            <x v="0"/>
          </reference>
          <reference field="8" count="1" selected="0">
            <x v="1"/>
          </reference>
        </references>
      </pivotArea>
    </chartFormat>
    <chartFormat chart="38" format="5" series="1">
      <pivotArea type="data" outline="0" fieldPosition="0">
        <references count="1">
          <reference field="4294967294" count="1" selected="0">
            <x v="0"/>
          </reference>
        </references>
      </pivotArea>
    </chartFormat>
    <chartFormat chart="38" format="6">
      <pivotArea type="data" outline="0" fieldPosition="0">
        <references count="2">
          <reference field="4294967294" count="1" selected="0">
            <x v="0"/>
          </reference>
          <reference field="8" count="1" selected="0">
            <x v="0"/>
          </reference>
        </references>
      </pivotArea>
    </chartFormat>
    <chartFormat chart="38" format="7">
      <pivotArea type="data" outline="0" fieldPosition="0">
        <references count="2">
          <reference field="4294967294" count="1" selected="0">
            <x v="0"/>
          </reference>
          <reference field="8" count="1" selected="0">
            <x v="2"/>
          </reference>
        </references>
      </pivotArea>
    </chartFormat>
    <chartFormat chart="38" format="8">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C3301C7-AEF7-4965-B016-7838D64746E6}"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G8:H12" firstHeaderRow="1" firstDataRow="1" firstDataCol="1"/>
  <pivotFields count="10">
    <pivotField showAll="0"/>
    <pivotField showAll="0"/>
    <pivotField showAll="0">
      <items count="7">
        <item x="4"/>
        <item x="2"/>
        <item x="1"/>
        <item x="3"/>
        <item x="0"/>
        <item x="5"/>
        <item t="default"/>
      </items>
    </pivotField>
    <pivotField axis="axisRow" dataField="1" showAll="0">
      <items count="4">
        <item x="0"/>
        <item x="1"/>
        <item x="2"/>
        <item t="default"/>
      </items>
    </pivotField>
    <pivotField numFmtId="14" showAll="0"/>
    <pivotField numFmtId="14" showAll="0"/>
    <pivotField showAll="0"/>
    <pivotField showAll="0"/>
    <pivotField showAll="0"/>
    <pivotField showAll="0"/>
  </pivotFields>
  <rowFields count="1">
    <field x="3"/>
  </rowFields>
  <rowItems count="4">
    <i>
      <x/>
    </i>
    <i>
      <x v="1"/>
    </i>
    <i>
      <x v="2"/>
    </i>
    <i t="grand">
      <x/>
    </i>
  </rowItems>
  <colItems count="1">
    <i/>
  </colItems>
  <dataFields count="1">
    <dataField name="Count of Status" fld="3" subtotal="count" baseField="0" baseItem="0"/>
  </dataFields>
  <chartFormats count="9">
    <chartFormat chart="3"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3" count="1" selected="0">
            <x v="0"/>
          </reference>
        </references>
      </pivotArea>
    </chartFormat>
    <chartFormat chart="6" format="7">
      <pivotArea type="data" outline="0" fieldPosition="0">
        <references count="2">
          <reference field="4294967294" count="1" selected="0">
            <x v="0"/>
          </reference>
          <reference field="3" count="1" selected="0">
            <x v="1"/>
          </reference>
        </references>
      </pivotArea>
    </chartFormat>
    <chartFormat chart="6" format="8">
      <pivotArea type="data" outline="0" fieldPosition="0">
        <references count="2">
          <reference field="4294967294" count="1" selected="0">
            <x v="0"/>
          </reference>
          <reference field="3" count="1" selected="0">
            <x v="2"/>
          </reference>
        </references>
      </pivotArea>
    </chartFormat>
    <chartFormat chart="19" format="5" series="1">
      <pivotArea type="data" outline="0" fieldPosition="0">
        <references count="1">
          <reference field="4294967294" count="1" selected="0">
            <x v="0"/>
          </reference>
        </references>
      </pivotArea>
    </chartFormat>
    <chartFormat chart="19" format="6">
      <pivotArea type="data" outline="0" fieldPosition="0">
        <references count="2">
          <reference field="4294967294" count="1" selected="0">
            <x v="0"/>
          </reference>
          <reference field="3" count="1" selected="0">
            <x v="0"/>
          </reference>
        </references>
      </pivotArea>
    </chartFormat>
    <chartFormat chart="19" format="7">
      <pivotArea type="data" outline="0" fieldPosition="0">
        <references count="2">
          <reference field="4294967294" count="1" selected="0">
            <x v="0"/>
          </reference>
          <reference field="3" count="1" selected="0">
            <x v="1"/>
          </reference>
        </references>
      </pivotArea>
    </chartFormat>
    <chartFormat chart="19" format="8">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E1BF26B-7C9E-4D47-B6C5-A0C7617124AD}"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2">
  <location ref="A3:C20" firstHeaderRow="1" firstDataRow="1" firstDataCol="0"/>
  <pivotFields count="10">
    <pivotField showAll="0"/>
    <pivotField showAll="0"/>
    <pivotField showAll="0">
      <items count="7">
        <item x="4"/>
        <item x="2"/>
        <item x="1"/>
        <item x="3"/>
        <item x="0"/>
        <item x="5"/>
        <item t="default"/>
      </items>
    </pivotField>
    <pivotField showAll="0">
      <items count="4">
        <item x="0"/>
        <item x="1"/>
        <item x="2"/>
        <item t="default"/>
      </items>
    </pivotField>
    <pivotField numFmtId="14" showAll="0"/>
    <pivotField numFmtId="14" showAll="0"/>
    <pivotField showAll="0"/>
    <pivotField showAll="0"/>
    <pivotField showAll="0">
      <items count="4">
        <item x="2"/>
        <item x="0"/>
        <item x="1"/>
        <item t="default"/>
      </items>
    </pivotField>
    <pivotField showAll="0">
      <items count="5">
        <item x="2"/>
        <item x="0"/>
        <item x="1"/>
        <item x="3"/>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DEAAADD6-523E-4520-9F34-775155914048}" sourceName="Department">
  <pivotTables>
    <pivotTable tabId="2" name="PivotTable1"/>
    <pivotTable tabId="2" name="PivotTable2"/>
    <pivotTable tabId="2" name="PivotTable3"/>
    <pivotTable tabId="2" name="PivotTable5"/>
  </pivotTables>
  <data>
    <tabular pivotCacheId="1398490715">
      <items count="6">
        <i x="4" s="1"/>
        <i x="2" s="1"/>
        <i x="1" s="1"/>
        <i x="3" s="1"/>
        <i x="0"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DA6EAB1D-DADF-43E5-94E0-5A7D4CF0AE5B}" cache="Slicer_Department" caption="Department"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DFE4228-5047-48E0-AADA-4B465624D7EC}" name="Table1" displayName="Table1" ref="A1:J61" totalsRowShown="0">
  <autoFilter ref="A1:J61" xr:uid="{6DFE4228-5047-48E0-AADA-4B465624D7EC}"/>
  <tableColumns count="10">
    <tableColumn id="1" xr3:uid="{61BDE3D2-5E33-4A31-8F59-9F2A4CCC5F17}" name="Task ID"/>
    <tableColumn id="2" xr3:uid="{976FDC70-1288-401B-8CF3-8C1C69988664}" name="Task Name"/>
    <tableColumn id="3" xr3:uid="{8A3FE0F3-608C-4B14-8BF6-805378DB3D53}" name="Department"/>
    <tableColumn id="4" xr3:uid="{E4465874-3C03-4AAF-B20E-902E681571D8}" name="Status"/>
    <tableColumn id="5" xr3:uid="{FD9470AA-1196-452C-B34B-592EBA151723}" name="Start Date" dataDxfId="1"/>
    <tableColumn id="6" xr3:uid="{65B066CE-DCBA-4B31-9212-FC394969B2AE}" name="End Date" dataDxfId="0"/>
    <tableColumn id="7" xr3:uid="{91A2352B-5920-4EE7-8E77-CCF84A9B5AEE}" name="Budgeted"/>
    <tableColumn id="8" xr3:uid="{BD7A2EAA-2BBB-473F-B98E-2A0232F67155}" name="Actual"/>
    <tableColumn id="9" xr3:uid="{FD0B5058-5A90-45F7-8EB8-4266DC3F2069}" name="Risk"/>
    <tableColumn id="10" xr3:uid="{0C9FE181-87A2-4EAE-A2A3-1887BA67124E}" name="Issu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4E63F-718D-4FDD-8586-7F76CB5CF28D}">
  <dimension ref="A2:L24"/>
  <sheetViews>
    <sheetView zoomScale="90" zoomScaleNormal="90" workbookViewId="0">
      <selection activeCell="H24" sqref="H24"/>
    </sheetView>
  </sheetViews>
  <sheetFormatPr defaultRowHeight="15" x14ac:dyDescent="0.25"/>
  <cols>
    <col min="1" max="2" width="14.28515625" bestFit="1" customWidth="1"/>
    <col min="3" max="3" width="15.85546875" customWidth="1"/>
    <col min="5" max="5" width="10.7109375" bestFit="1" customWidth="1"/>
    <col min="6" max="6" width="10.85546875" bestFit="1" customWidth="1"/>
    <col min="7" max="7" width="13.42578125" bestFit="1" customWidth="1"/>
    <col min="8" max="8" width="15.140625" bestFit="1" customWidth="1"/>
    <col min="9" max="9" width="14.85546875" customWidth="1"/>
    <col min="10" max="10" width="11.28515625" bestFit="1" customWidth="1"/>
    <col min="11" max="11" width="13.42578125" bestFit="1" customWidth="1"/>
    <col min="12" max="12" width="14.28515625" bestFit="1" customWidth="1"/>
  </cols>
  <sheetData>
    <row r="2" spans="1:12" x14ac:dyDescent="0.25">
      <c r="G2" t="s">
        <v>90</v>
      </c>
      <c r="H2" t="s">
        <v>7</v>
      </c>
      <c r="I2" t="s">
        <v>89</v>
      </c>
      <c r="K2" s="2" t="s">
        <v>86</v>
      </c>
      <c r="L2" t="s">
        <v>91</v>
      </c>
    </row>
    <row r="3" spans="1:12" x14ac:dyDescent="0.25">
      <c r="A3" s="20"/>
      <c r="B3" s="21"/>
      <c r="C3" s="22"/>
      <c r="D3" t="s">
        <v>93</v>
      </c>
      <c r="E3" s="5">
        <f>COUNTIF(Table1[Status], "Complete") / COUNTA(Table1[Task Name])</f>
        <v>0.4</v>
      </c>
      <c r="G3">
        <f>SUM(Table1[Budgeted])</f>
        <v>576000</v>
      </c>
      <c r="H3">
        <f>SUM(Table1[Actual])</f>
        <v>284200</v>
      </c>
      <c r="I3">
        <f>G3-H3</f>
        <v>291800</v>
      </c>
      <c r="K3" s="3" t="s">
        <v>27</v>
      </c>
      <c r="L3" s="4">
        <v>14</v>
      </c>
    </row>
    <row r="4" spans="1:12" x14ac:dyDescent="0.25">
      <c r="A4" s="23"/>
      <c r="B4" s="24"/>
      <c r="C4" s="25"/>
      <c r="D4" t="s">
        <v>94</v>
      </c>
      <c r="E4" s="5">
        <f>(SUM(Table1[Budgeted]) - SUM(Table1[Actual])) /SUM(Table1[Budgeted])</f>
        <v>0.50659722222222225</v>
      </c>
      <c r="K4" s="3" t="s">
        <v>19</v>
      </c>
      <c r="L4" s="4">
        <v>18</v>
      </c>
    </row>
    <row r="5" spans="1:12" x14ac:dyDescent="0.25">
      <c r="A5" s="23"/>
      <c r="B5" s="24"/>
      <c r="C5" s="25"/>
      <c r="D5" t="s">
        <v>95</v>
      </c>
      <c r="E5" t="str">
        <f>IF( E3&gt; 0.4, "45% ahead", "On Schedule")</f>
        <v>On Schedule</v>
      </c>
      <c r="K5" s="3" t="s">
        <v>14</v>
      </c>
      <c r="L5" s="4">
        <v>28</v>
      </c>
    </row>
    <row r="6" spans="1:12" x14ac:dyDescent="0.25">
      <c r="A6" s="23"/>
      <c r="B6" s="24"/>
      <c r="C6" s="25"/>
      <c r="K6" s="3" t="s">
        <v>87</v>
      </c>
      <c r="L6" s="4">
        <v>60</v>
      </c>
    </row>
    <row r="7" spans="1:12" x14ac:dyDescent="0.25">
      <c r="A7" s="23"/>
      <c r="B7" s="24"/>
      <c r="C7" s="25"/>
    </row>
    <row r="8" spans="1:12" x14ac:dyDescent="0.25">
      <c r="A8" s="23"/>
      <c r="B8" s="24"/>
      <c r="C8" s="25"/>
      <c r="G8" s="2" t="s">
        <v>86</v>
      </c>
      <c r="H8" t="s">
        <v>88</v>
      </c>
    </row>
    <row r="9" spans="1:12" x14ac:dyDescent="0.25">
      <c r="A9" s="23"/>
      <c r="B9" s="24"/>
      <c r="C9" s="25"/>
      <c r="D9">
        <f>MAX(Table1[End Date]) - MIN(Table1[Start Date])</f>
        <v>151</v>
      </c>
      <c r="G9" s="3" t="s">
        <v>13</v>
      </c>
      <c r="H9" s="4">
        <v>24</v>
      </c>
    </row>
    <row r="10" spans="1:12" x14ac:dyDescent="0.25">
      <c r="A10" s="23"/>
      <c r="B10" s="24"/>
      <c r="C10" s="25"/>
      <c r="D10">
        <f>MAX(Table1[End Date]) - MIN(Table1[Start Date])</f>
        <v>151</v>
      </c>
      <c r="G10" s="3" t="s">
        <v>22</v>
      </c>
      <c r="H10" s="4">
        <v>22</v>
      </c>
      <c r="K10" s="2" t="s">
        <v>86</v>
      </c>
      <c r="L10" t="s">
        <v>92</v>
      </c>
    </row>
    <row r="11" spans="1:12" x14ac:dyDescent="0.25">
      <c r="A11" s="23"/>
      <c r="B11" s="24"/>
      <c r="C11" s="25"/>
      <c r="D11" s="5">
        <f>D10-D9</f>
        <v>0</v>
      </c>
      <c r="G11" s="3" t="s">
        <v>32</v>
      </c>
      <c r="H11" s="4">
        <v>14</v>
      </c>
      <c r="K11" s="3" t="s">
        <v>23</v>
      </c>
      <c r="L11" s="4">
        <v>8</v>
      </c>
    </row>
    <row r="12" spans="1:12" x14ac:dyDescent="0.25">
      <c r="A12" s="23"/>
      <c r="B12" s="24"/>
      <c r="C12" s="25"/>
      <c r="D12" s="5">
        <f>E3-D11</f>
        <v>0.4</v>
      </c>
      <c r="G12" s="3" t="s">
        <v>87</v>
      </c>
      <c r="H12" s="4">
        <v>60</v>
      </c>
      <c r="K12" s="3" t="s">
        <v>33</v>
      </c>
      <c r="L12" s="4">
        <v>10</v>
      </c>
    </row>
    <row r="13" spans="1:12" x14ac:dyDescent="0.25">
      <c r="A13" s="23"/>
      <c r="B13" s="24"/>
      <c r="C13" s="25"/>
      <c r="K13" s="3" t="s">
        <v>28</v>
      </c>
      <c r="L13" s="4">
        <v>18</v>
      </c>
    </row>
    <row r="14" spans="1:12" x14ac:dyDescent="0.25">
      <c r="A14" s="23"/>
      <c r="B14" s="24"/>
      <c r="C14" s="25"/>
      <c r="K14" s="3" t="s">
        <v>15</v>
      </c>
      <c r="L14" s="4">
        <v>24</v>
      </c>
    </row>
    <row r="15" spans="1:12" x14ac:dyDescent="0.25">
      <c r="A15" s="23"/>
      <c r="B15" s="24"/>
      <c r="C15" s="25"/>
      <c r="D15" t="str">
        <f>TEXT(ABS(D12), "0%") &amp; IF(D12 &gt; 0, " ahead", " behind")</f>
        <v>40% ahead</v>
      </c>
      <c r="G15" s="6" t="s">
        <v>3</v>
      </c>
      <c r="H15" s="6" t="s">
        <v>98</v>
      </c>
      <c r="I15" s="6" t="s">
        <v>96</v>
      </c>
      <c r="J15" s="6" t="s">
        <v>97</v>
      </c>
      <c r="K15" s="3" t="s">
        <v>87</v>
      </c>
      <c r="L15" s="4">
        <v>60</v>
      </c>
    </row>
    <row r="16" spans="1:12" x14ac:dyDescent="0.25">
      <c r="A16" s="23"/>
      <c r="B16" s="24"/>
      <c r="C16" s="25"/>
      <c r="G16" s="6" t="s">
        <v>32</v>
      </c>
      <c r="H16" s="7">
        <f>COUNTIF(Table1[Status], "Not Started")</f>
        <v>14</v>
      </c>
      <c r="I16" s="7">
        <f>SUMIF(Table1[Status], "Not Started", Table1[Budgeted])</f>
        <v>93000</v>
      </c>
      <c r="J16" s="7">
        <f>SUMIF(Table1[Status], "Not Started", Table1[Actual])</f>
        <v>0</v>
      </c>
    </row>
    <row r="17" spans="1:11" x14ac:dyDescent="0.25">
      <c r="A17" s="23"/>
      <c r="B17" s="24"/>
      <c r="C17" s="25"/>
      <c r="G17" s="6" t="s">
        <v>22</v>
      </c>
      <c r="H17" s="7">
        <f>COUNTIF(Table1[Status], "In Progress")</f>
        <v>22</v>
      </c>
      <c r="I17" s="7">
        <f>SUMIF(Table1[Status], "In Progress", Table1[Budgeted])</f>
        <v>366000</v>
      </c>
      <c r="J17" s="7">
        <f>SUMIF(Table1[Status], "In Progress", Table1[Actual])</f>
        <v>166000</v>
      </c>
    </row>
    <row r="18" spans="1:11" x14ac:dyDescent="0.25">
      <c r="A18" s="23"/>
      <c r="B18" s="24"/>
      <c r="C18" s="25"/>
      <c r="G18" s="6" t="s">
        <v>13</v>
      </c>
      <c r="H18" s="7">
        <f>COUNTIF(Table1[Status], "Complete")</f>
        <v>24</v>
      </c>
      <c r="I18" s="7">
        <f>SUMIF(Table1[Status], "Complete", Table1[Budgeted])</f>
        <v>117000</v>
      </c>
      <c r="J18" s="7">
        <f>SUMIF(Table1[Status], "Complete", Table1[Actual])</f>
        <v>118200</v>
      </c>
    </row>
    <row r="19" spans="1:11" x14ac:dyDescent="0.25">
      <c r="A19" s="23"/>
      <c r="B19" s="24"/>
      <c r="C19" s="25"/>
    </row>
    <row r="20" spans="1:11" x14ac:dyDescent="0.25">
      <c r="A20" s="26"/>
      <c r="B20" s="27"/>
      <c r="C20" s="28"/>
      <c r="E20" s="18" t="s">
        <v>103</v>
      </c>
      <c r="F20" s="18"/>
      <c r="G20" s="18"/>
      <c r="I20" s="19" t="s">
        <v>102</v>
      </c>
      <c r="J20" s="19"/>
      <c r="K20" s="19"/>
    </row>
    <row r="21" spans="1:11" x14ac:dyDescent="0.25">
      <c r="E21" s="11" t="s">
        <v>32</v>
      </c>
      <c r="F21" s="12" t="s">
        <v>22</v>
      </c>
      <c r="G21" s="13" t="s">
        <v>13</v>
      </c>
      <c r="H21" s="14"/>
      <c r="I21" s="15" t="s">
        <v>99</v>
      </c>
      <c r="J21" s="16" t="s">
        <v>100</v>
      </c>
      <c r="K21" s="17" t="s">
        <v>101</v>
      </c>
    </row>
    <row r="22" spans="1:11" x14ac:dyDescent="0.25">
      <c r="E22" s="8">
        <f>COUNTIF(Table1[Status], "Not Started")</f>
        <v>14</v>
      </c>
      <c r="F22" s="9">
        <f>COUNTIF(Table1[Status], "In Progress")</f>
        <v>22</v>
      </c>
      <c r="G22" s="10">
        <f>COUNTIF(Table1[Status], "Complete")</f>
        <v>24</v>
      </c>
    </row>
    <row r="23" spans="1:11" x14ac:dyDescent="0.25">
      <c r="H23" t="s">
        <v>104</v>
      </c>
    </row>
    <row r="24" spans="1:11" x14ac:dyDescent="0.25">
      <c r="H24">
        <f>SUM(E22,F22,G22)</f>
        <v>60</v>
      </c>
    </row>
  </sheetData>
  <mergeCells count="2">
    <mergeCell ref="E20:G20"/>
    <mergeCell ref="I20:K2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CE6C5-8E44-43FA-8C18-578EC2255389}">
  <dimension ref="A1"/>
  <sheetViews>
    <sheetView showGridLines="0" tabSelected="1" topLeftCell="A3" zoomScale="80" zoomScaleNormal="80" workbookViewId="0">
      <selection activeCell="V3" sqref="V3"/>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909D8-A372-4FFD-BD87-624AC43AC9DE}">
  <dimension ref="A1:J61"/>
  <sheetViews>
    <sheetView workbookViewId="0">
      <selection sqref="A1:J61"/>
    </sheetView>
  </sheetViews>
  <sheetFormatPr defaultRowHeight="15" x14ac:dyDescent="0.25"/>
  <cols>
    <col min="1" max="1" width="9.5703125" customWidth="1"/>
    <col min="2" max="2" width="12.85546875" customWidth="1"/>
    <col min="3" max="3" width="14" customWidth="1"/>
    <col min="5" max="5" width="12.140625" customWidth="1"/>
    <col min="6" max="6" width="11.28515625" customWidth="1"/>
    <col min="7" max="7" width="11.7109375" customWidth="1"/>
  </cols>
  <sheetData>
    <row r="1" spans="1:10" x14ac:dyDescent="0.25">
      <c r="A1" t="s">
        <v>0</v>
      </c>
      <c r="B1" t="s">
        <v>1</v>
      </c>
      <c r="C1" t="s">
        <v>2</v>
      </c>
      <c r="D1" t="s">
        <v>3</v>
      </c>
      <c r="E1" t="s">
        <v>4</v>
      </c>
      <c r="F1" t="s">
        <v>5</v>
      </c>
      <c r="G1" t="s">
        <v>6</v>
      </c>
      <c r="H1" t="s">
        <v>7</v>
      </c>
      <c r="I1" t="s">
        <v>8</v>
      </c>
      <c r="J1" t="s">
        <v>9</v>
      </c>
    </row>
    <row r="2" spans="1:10" x14ac:dyDescent="0.25">
      <c r="A2" t="s">
        <v>10</v>
      </c>
      <c r="B2" t="s">
        <v>11</v>
      </c>
      <c r="C2" t="s">
        <v>12</v>
      </c>
      <c r="D2" t="s">
        <v>13</v>
      </c>
      <c r="E2" s="1">
        <v>45658</v>
      </c>
      <c r="F2" s="1">
        <v>45672</v>
      </c>
      <c r="G2">
        <v>5000</v>
      </c>
      <c r="H2">
        <v>4800</v>
      </c>
      <c r="I2" t="s">
        <v>14</v>
      </c>
      <c r="J2" t="s">
        <v>15</v>
      </c>
    </row>
    <row r="3" spans="1:10" x14ac:dyDescent="0.25">
      <c r="A3" t="s">
        <v>16</v>
      </c>
      <c r="B3" t="s">
        <v>17</v>
      </c>
      <c r="C3" t="s">
        <v>18</v>
      </c>
      <c r="D3" t="s">
        <v>13</v>
      </c>
      <c r="E3" s="1">
        <v>45662</v>
      </c>
      <c r="F3" s="1">
        <v>45677</v>
      </c>
      <c r="G3">
        <v>8000</v>
      </c>
      <c r="H3">
        <v>8200</v>
      </c>
      <c r="I3" t="s">
        <v>19</v>
      </c>
      <c r="J3" t="s">
        <v>15</v>
      </c>
    </row>
    <row r="4" spans="1:10" x14ac:dyDescent="0.25">
      <c r="A4" t="s">
        <v>20</v>
      </c>
      <c r="B4" t="s">
        <v>21</v>
      </c>
      <c r="C4" t="s">
        <v>18</v>
      </c>
      <c r="D4" t="s">
        <v>22</v>
      </c>
      <c r="E4" s="1">
        <v>45667</v>
      </c>
      <c r="F4" s="1">
        <v>45703</v>
      </c>
      <c r="G4">
        <v>15000</v>
      </c>
      <c r="H4">
        <v>7000</v>
      </c>
      <c r="I4" t="s">
        <v>14</v>
      </c>
      <c r="J4" t="s">
        <v>23</v>
      </c>
    </row>
    <row r="5" spans="1:10" x14ac:dyDescent="0.25">
      <c r="A5" t="s">
        <v>24</v>
      </c>
      <c r="B5" t="s">
        <v>25</v>
      </c>
      <c r="C5" t="s">
        <v>26</v>
      </c>
      <c r="D5" t="s">
        <v>22</v>
      </c>
      <c r="E5" s="1">
        <v>45672</v>
      </c>
      <c r="F5" s="1">
        <v>45717</v>
      </c>
      <c r="G5">
        <v>12000</v>
      </c>
      <c r="H5">
        <v>5000</v>
      </c>
      <c r="I5" t="s">
        <v>27</v>
      </c>
      <c r="J5" t="s">
        <v>28</v>
      </c>
    </row>
    <row r="6" spans="1:10" x14ac:dyDescent="0.25">
      <c r="A6" t="s">
        <v>29</v>
      </c>
      <c r="B6" t="s">
        <v>30</v>
      </c>
      <c r="C6" t="s">
        <v>31</v>
      </c>
      <c r="D6" t="s">
        <v>32</v>
      </c>
      <c r="E6" s="1">
        <v>45689</v>
      </c>
      <c r="F6" s="1">
        <v>45703</v>
      </c>
      <c r="G6">
        <v>3000</v>
      </c>
      <c r="H6">
        <v>0</v>
      </c>
      <c r="I6" t="s">
        <v>19</v>
      </c>
      <c r="J6" t="s">
        <v>33</v>
      </c>
    </row>
    <row r="7" spans="1:10" x14ac:dyDescent="0.25">
      <c r="A7" t="s">
        <v>34</v>
      </c>
      <c r="B7" t="s">
        <v>35</v>
      </c>
      <c r="C7" t="s">
        <v>12</v>
      </c>
      <c r="D7" t="s">
        <v>13</v>
      </c>
      <c r="E7" s="1">
        <v>45659</v>
      </c>
      <c r="F7" s="1">
        <v>45677</v>
      </c>
      <c r="G7">
        <v>4500</v>
      </c>
      <c r="H7">
        <v>4500</v>
      </c>
      <c r="I7" t="s">
        <v>14</v>
      </c>
      <c r="J7" t="s">
        <v>15</v>
      </c>
    </row>
    <row r="8" spans="1:10" x14ac:dyDescent="0.25">
      <c r="A8" t="s">
        <v>36</v>
      </c>
      <c r="B8" t="s">
        <v>37</v>
      </c>
      <c r="C8" t="s">
        <v>18</v>
      </c>
      <c r="D8" t="s">
        <v>22</v>
      </c>
      <c r="E8" s="1">
        <v>45677</v>
      </c>
      <c r="F8" s="1">
        <v>45731</v>
      </c>
      <c r="G8">
        <v>25000</v>
      </c>
      <c r="H8">
        <v>12000</v>
      </c>
      <c r="I8" t="s">
        <v>27</v>
      </c>
      <c r="J8" t="s">
        <v>28</v>
      </c>
    </row>
    <row r="9" spans="1:10" x14ac:dyDescent="0.25">
      <c r="A9" t="s">
        <v>38</v>
      </c>
      <c r="B9" t="s">
        <v>39</v>
      </c>
      <c r="C9" t="s">
        <v>26</v>
      </c>
      <c r="D9" t="s">
        <v>32</v>
      </c>
      <c r="E9" s="1">
        <v>45717</v>
      </c>
      <c r="F9" s="1">
        <v>45731</v>
      </c>
      <c r="G9">
        <v>2000</v>
      </c>
      <c r="H9">
        <v>0</v>
      </c>
      <c r="I9" t="s">
        <v>14</v>
      </c>
      <c r="J9" t="s">
        <v>28</v>
      </c>
    </row>
    <row r="10" spans="1:10" x14ac:dyDescent="0.25">
      <c r="A10" t="s">
        <v>40</v>
      </c>
      <c r="B10" t="s">
        <v>41</v>
      </c>
      <c r="C10" t="s">
        <v>42</v>
      </c>
      <c r="D10" t="s">
        <v>13</v>
      </c>
      <c r="E10" s="1">
        <v>45658</v>
      </c>
      <c r="F10" s="1">
        <v>45667</v>
      </c>
      <c r="G10">
        <v>3500</v>
      </c>
      <c r="H10">
        <v>3400</v>
      </c>
      <c r="I10" t="s">
        <v>14</v>
      </c>
      <c r="J10" t="s">
        <v>15</v>
      </c>
    </row>
    <row r="11" spans="1:10" x14ac:dyDescent="0.25">
      <c r="A11" t="s">
        <v>43</v>
      </c>
      <c r="B11" t="s">
        <v>44</v>
      </c>
      <c r="C11" t="s">
        <v>18</v>
      </c>
      <c r="D11" t="s">
        <v>32</v>
      </c>
      <c r="E11" s="1">
        <v>45731</v>
      </c>
      <c r="F11" s="1">
        <v>45762</v>
      </c>
      <c r="G11">
        <v>9000</v>
      </c>
      <c r="H11">
        <v>0</v>
      </c>
      <c r="I11" t="s">
        <v>19</v>
      </c>
      <c r="J11" t="s">
        <v>33</v>
      </c>
    </row>
    <row r="12" spans="1:10" x14ac:dyDescent="0.25">
      <c r="A12" t="s">
        <v>45</v>
      </c>
      <c r="B12" t="s">
        <v>46</v>
      </c>
      <c r="C12" t="s">
        <v>12</v>
      </c>
      <c r="D12" t="s">
        <v>22</v>
      </c>
      <c r="E12" s="1">
        <v>45667</v>
      </c>
      <c r="F12" s="1">
        <v>45716</v>
      </c>
      <c r="G12">
        <v>10000</v>
      </c>
      <c r="H12">
        <v>6000</v>
      </c>
      <c r="I12" t="s">
        <v>14</v>
      </c>
      <c r="J12" t="s">
        <v>23</v>
      </c>
    </row>
    <row r="13" spans="1:10" x14ac:dyDescent="0.25">
      <c r="A13" t="s">
        <v>47</v>
      </c>
      <c r="B13" t="s">
        <v>48</v>
      </c>
      <c r="C13" t="s">
        <v>18</v>
      </c>
      <c r="D13" t="s">
        <v>22</v>
      </c>
      <c r="E13" s="1">
        <v>45682</v>
      </c>
      <c r="F13" s="1">
        <v>45748</v>
      </c>
      <c r="G13">
        <v>30000</v>
      </c>
      <c r="H13">
        <v>15000</v>
      </c>
      <c r="I13" t="s">
        <v>27</v>
      </c>
      <c r="J13" t="s">
        <v>28</v>
      </c>
    </row>
    <row r="14" spans="1:10" x14ac:dyDescent="0.25">
      <c r="A14" t="s">
        <v>49</v>
      </c>
      <c r="B14" t="s">
        <v>50</v>
      </c>
      <c r="C14" t="s">
        <v>51</v>
      </c>
      <c r="D14" t="s">
        <v>13</v>
      </c>
      <c r="E14" s="1">
        <v>45662</v>
      </c>
      <c r="F14" s="1">
        <v>45672</v>
      </c>
      <c r="G14">
        <v>6000</v>
      </c>
      <c r="H14">
        <v>6200</v>
      </c>
      <c r="I14" t="s">
        <v>19</v>
      </c>
      <c r="J14" t="s">
        <v>15</v>
      </c>
    </row>
    <row r="15" spans="1:10" x14ac:dyDescent="0.25">
      <c r="A15" t="s">
        <v>52</v>
      </c>
      <c r="B15" t="s">
        <v>53</v>
      </c>
      <c r="C15" t="s">
        <v>51</v>
      </c>
      <c r="D15" t="s">
        <v>22</v>
      </c>
      <c r="E15" s="1">
        <v>45677</v>
      </c>
      <c r="F15" s="1">
        <v>45726</v>
      </c>
      <c r="G15">
        <v>18000</v>
      </c>
      <c r="H15">
        <v>9000</v>
      </c>
      <c r="I15" t="s">
        <v>14</v>
      </c>
      <c r="J15" t="s">
        <v>28</v>
      </c>
    </row>
    <row r="16" spans="1:10" x14ac:dyDescent="0.25">
      <c r="A16" t="s">
        <v>54</v>
      </c>
      <c r="B16" t="s">
        <v>55</v>
      </c>
      <c r="C16" t="s">
        <v>31</v>
      </c>
      <c r="D16" t="s">
        <v>32</v>
      </c>
      <c r="E16" s="1">
        <v>45717</v>
      </c>
      <c r="F16" s="1">
        <v>45736</v>
      </c>
      <c r="G16">
        <v>5000</v>
      </c>
      <c r="H16">
        <v>0</v>
      </c>
      <c r="I16" t="s">
        <v>27</v>
      </c>
      <c r="J16" t="s">
        <v>33</v>
      </c>
    </row>
    <row r="17" spans="1:10" x14ac:dyDescent="0.25">
      <c r="A17" t="s">
        <v>56</v>
      </c>
      <c r="B17" t="s">
        <v>57</v>
      </c>
      <c r="C17" t="s">
        <v>12</v>
      </c>
      <c r="D17" t="s">
        <v>22</v>
      </c>
      <c r="E17" s="1">
        <v>45672</v>
      </c>
      <c r="F17" s="1">
        <v>45748</v>
      </c>
      <c r="G17">
        <v>22000</v>
      </c>
      <c r="H17">
        <v>11000</v>
      </c>
      <c r="I17" t="s">
        <v>19</v>
      </c>
      <c r="J17" t="s">
        <v>23</v>
      </c>
    </row>
    <row r="18" spans="1:10" x14ac:dyDescent="0.25">
      <c r="A18" t="s">
        <v>58</v>
      </c>
      <c r="B18" t="s">
        <v>59</v>
      </c>
      <c r="C18" t="s">
        <v>18</v>
      </c>
      <c r="D18" t="s">
        <v>13</v>
      </c>
      <c r="E18" s="1">
        <v>45667</v>
      </c>
      <c r="F18" s="1">
        <v>45669</v>
      </c>
      <c r="G18">
        <v>2500</v>
      </c>
      <c r="H18">
        <v>2500</v>
      </c>
      <c r="I18" t="s">
        <v>14</v>
      </c>
      <c r="J18" t="s">
        <v>15</v>
      </c>
    </row>
    <row r="19" spans="1:10" x14ac:dyDescent="0.25">
      <c r="A19" t="s">
        <v>60</v>
      </c>
      <c r="B19" t="s">
        <v>61</v>
      </c>
      <c r="C19" t="s">
        <v>51</v>
      </c>
      <c r="D19" t="s">
        <v>32</v>
      </c>
      <c r="E19" s="1">
        <v>45748</v>
      </c>
      <c r="F19" s="1">
        <v>45762</v>
      </c>
      <c r="G19">
        <v>7500</v>
      </c>
      <c r="H19">
        <v>0</v>
      </c>
      <c r="I19" t="s">
        <v>14</v>
      </c>
      <c r="J19" t="s">
        <v>28</v>
      </c>
    </row>
    <row r="20" spans="1:10" x14ac:dyDescent="0.25">
      <c r="A20" t="s">
        <v>62</v>
      </c>
      <c r="B20" t="s">
        <v>63</v>
      </c>
      <c r="C20" t="s">
        <v>12</v>
      </c>
      <c r="D20" t="s">
        <v>13</v>
      </c>
      <c r="E20" s="1">
        <v>45658</v>
      </c>
      <c r="F20" s="1">
        <v>45682</v>
      </c>
      <c r="G20">
        <v>8000</v>
      </c>
      <c r="H20">
        <v>8500</v>
      </c>
      <c r="I20" t="s">
        <v>27</v>
      </c>
      <c r="J20" t="s">
        <v>15</v>
      </c>
    </row>
    <row r="21" spans="1:10" x14ac:dyDescent="0.25">
      <c r="A21" t="s">
        <v>64</v>
      </c>
      <c r="B21" t="s">
        <v>65</v>
      </c>
      <c r="C21" t="s">
        <v>18</v>
      </c>
      <c r="D21" t="s">
        <v>22</v>
      </c>
      <c r="E21" s="1">
        <v>45689</v>
      </c>
      <c r="F21" s="1">
        <v>45717</v>
      </c>
      <c r="G21">
        <v>11000</v>
      </c>
      <c r="H21">
        <v>4000</v>
      </c>
      <c r="I21" t="s">
        <v>19</v>
      </c>
      <c r="J21" t="s">
        <v>28</v>
      </c>
    </row>
    <row r="22" spans="1:10" x14ac:dyDescent="0.25">
      <c r="A22" t="s">
        <v>66</v>
      </c>
      <c r="B22" t="s">
        <v>67</v>
      </c>
      <c r="C22" t="s">
        <v>26</v>
      </c>
      <c r="D22" t="s">
        <v>13</v>
      </c>
      <c r="E22" s="1">
        <v>45667</v>
      </c>
      <c r="F22" s="1">
        <v>45669</v>
      </c>
      <c r="G22">
        <v>4000</v>
      </c>
      <c r="H22">
        <v>4000</v>
      </c>
      <c r="I22" t="s">
        <v>14</v>
      </c>
      <c r="J22" t="s">
        <v>15</v>
      </c>
    </row>
    <row r="23" spans="1:10" x14ac:dyDescent="0.25">
      <c r="A23" t="s">
        <v>68</v>
      </c>
      <c r="B23" t="s">
        <v>69</v>
      </c>
      <c r="C23" t="s">
        <v>31</v>
      </c>
      <c r="D23" t="s">
        <v>22</v>
      </c>
      <c r="E23" s="1">
        <v>45677</v>
      </c>
      <c r="F23" s="1">
        <v>45703</v>
      </c>
      <c r="G23">
        <v>6000</v>
      </c>
      <c r="H23">
        <v>3000</v>
      </c>
      <c r="I23" t="s">
        <v>19</v>
      </c>
      <c r="J23" t="s">
        <v>23</v>
      </c>
    </row>
    <row r="24" spans="1:10" x14ac:dyDescent="0.25">
      <c r="A24" t="s">
        <v>70</v>
      </c>
      <c r="B24" t="s">
        <v>71</v>
      </c>
      <c r="C24" t="s">
        <v>18</v>
      </c>
      <c r="D24" t="s">
        <v>32</v>
      </c>
      <c r="E24" s="1">
        <v>45757</v>
      </c>
      <c r="F24" s="1">
        <v>45787</v>
      </c>
      <c r="G24">
        <v>5000</v>
      </c>
      <c r="H24">
        <v>0</v>
      </c>
      <c r="I24" t="s">
        <v>14</v>
      </c>
      <c r="J24" t="s">
        <v>33</v>
      </c>
    </row>
    <row r="25" spans="1:10" x14ac:dyDescent="0.25">
      <c r="A25" t="s">
        <v>72</v>
      </c>
      <c r="B25" t="s">
        <v>73</v>
      </c>
      <c r="C25" t="s">
        <v>12</v>
      </c>
      <c r="D25" t="s">
        <v>22</v>
      </c>
      <c r="E25" s="1">
        <v>45689</v>
      </c>
      <c r="F25" s="1">
        <v>45731</v>
      </c>
      <c r="G25">
        <v>14000</v>
      </c>
      <c r="H25">
        <v>6000</v>
      </c>
      <c r="I25" t="s">
        <v>27</v>
      </c>
      <c r="J25" t="s">
        <v>28</v>
      </c>
    </row>
    <row r="26" spans="1:10" x14ac:dyDescent="0.25">
      <c r="A26" t="s">
        <v>74</v>
      </c>
      <c r="B26" t="s">
        <v>75</v>
      </c>
      <c r="C26" t="s">
        <v>51</v>
      </c>
      <c r="D26" t="s">
        <v>13</v>
      </c>
      <c r="E26" s="1">
        <v>45672</v>
      </c>
      <c r="F26" s="1">
        <v>45687</v>
      </c>
      <c r="G26">
        <v>9000</v>
      </c>
      <c r="H26">
        <v>8800</v>
      </c>
      <c r="I26" t="s">
        <v>14</v>
      </c>
      <c r="J26" t="s">
        <v>15</v>
      </c>
    </row>
    <row r="27" spans="1:10" x14ac:dyDescent="0.25">
      <c r="A27" t="s">
        <v>76</v>
      </c>
      <c r="B27" t="s">
        <v>77</v>
      </c>
      <c r="C27" t="s">
        <v>18</v>
      </c>
      <c r="D27" t="s">
        <v>13</v>
      </c>
      <c r="E27" s="1">
        <v>45662</v>
      </c>
      <c r="F27" s="1">
        <v>45667</v>
      </c>
      <c r="G27">
        <v>3000</v>
      </c>
      <c r="H27">
        <v>3100</v>
      </c>
      <c r="I27" t="s">
        <v>14</v>
      </c>
      <c r="J27" t="s">
        <v>15</v>
      </c>
    </row>
    <row r="28" spans="1:10" x14ac:dyDescent="0.25">
      <c r="A28" t="s">
        <v>78</v>
      </c>
      <c r="B28" t="s">
        <v>79</v>
      </c>
      <c r="C28" t="s">
        <v>18</v>
      </c>
      <c r="D28" t="s">
        <v>13</v>
      </c>
      <c r="E28" s="1">
        <v>45658</v>
      </c>
      <c r="F28" s="1">
        <v>45660</v>
      </c>
      <c r="G28">
        <v>1000</v>
      </c>
      <c r="H28">
        <v>900</v>
      </c>
      <c r="I28" t="s">
        <v>14</v>
      </c>
      <c r="J28" t="s">
        <v>15</v>
      </c>
    </row>
    <row r="29" spans="1:10" x14ac:dyDescent="0.25">
      <c r="A29" t="s">
        <v>80</v>
      </c>
      <c r="B29" t="s">
        <v>81</v>
      </c>
      <c r="C29" t="s">
        <v>51</v>
      </c>
      <c r="D29" t="s">
        <v>22</v>
      </c>
      <c r="E29" s="1">
        <v>45698</v>
      </c>
      <c r="F29" s="1">
        <v>45748</v>
      </c>
      <c r="G29">
        <v>20000</v>
      </c>
      <c r="H29">
        <v>5000</v>
      </c>
      <c r="I29" t="s">
        <v>19</v>
      </c>
      <c r="J29" t="s">
        <v>28</v>
      </c>
    </row>
    <row r="30" spans="1:10" x14ac:dyDescent="0.25">
      <c r="A30" t="s">
        <v>82</v>
      </c>
      <c r="B30" t="s">
        <v>83</v>
      </c>
      <c r="C30" t="s">
        <v>12</v>
      </c>
      <c r="D30" t="s">
        <v>32</v>
      </c>
      <c r="E30" s="1">
        <v>45778</v>
      </c>
      <c r="F30" s="1">
        <v>45809</v>
      </c>
      <c r="G30">
        <v>15000</v>
      </c>
      <c r="H30">
        <v>0</v>
      </c>
      <c r="I30" t="s">
        <v>19</v>
      </c>
      <c r="J30" t="s">
        <v>33</v>
      </c>
    </row>
    <row r="31" spans="1:10" x14ac:dyDescent="0.25">
      <c r="A31" t="s">
        <v>84</v>
      </c>
      <c r="B31" t="s">
        <v>85</v>
      </c>
      <c r="C31" t="s">
        <v>31</v>
      </c>
      <c r="D31" t="s">
        <v>13</v>
      </c>
      <c r="E31" s="1">
        <v>45667</v>
      </c>
      <c r="F31" s="1">
        <v>45677</v>
      </c>
      <c r="G31">
        <v>4000</v>
      </c>
      <c r="H31">
        <v>4200</v>
      </c>
      <c r="I31" t="s">
        <v>27</v>
      </c>
      <c r="J31" t="s">
        <v>15</v>
      </c>
    </row>
    <row r="32" spans="1:10" x14ac:dyDescent="0.25">
      <c r="A32" t="s">
        <v>10</v>
      </c>
      <c r="B32" t="s">
        <v>11</v>
      </c>
      <c r="C32" t="s">
        <v>12</v>
      </c>
      <c r="D32" t="s">
        <v>13</v>
      </c>
      <c r="E32" s="1">
        <v>45658</v>
      </c>
      <c r="F32" s="1">
        <v>45672</v>
      </c>
      <c r="G32">
        <v>5000</v>
      </c>
      <c r="H32">
        <v>4800</v>
      </c>
      <c r="I32" t="s">
        <v>14</v>
      </c>
      <c r="J32" t="s">
        <v>15</v>
      </c>
    </row>
    <row r="33" spans="1:10" x14ac:dyDescent="0.25">
      <c r="A33" t="s">
        <v>16</v>
      </c>
      <c r="B33" t="s">
        <v>17</v>
      </c>
      <c r="C33" t="s">
        <v>18</v>
      </c>
      <c r="D33" t="s">
        <v>13</v>
      </c>
      <c r="E33" s="1">
        <v>45662</v>
      </c>
      <c r="F33" s="1">
        <v>45677</v>
      </c>
      <c r="G33">
        <v>8000</v>
      </c>
      <c r="H33">
        <v>8200</v>
      </c>
      <c r="I33" t="s">
        <v>19</v>
      </c>
      <c r="J33" t="s">
        <v>15</v>
      </c>
    </row>
    <row r="34" spans="1:10" x14ac:dyDescent="0.25">
      <c r="A34" t="s">
        <v>20</v>
      </c>
      <c r="B34" t="s">
        <v>21</v>
      </c>
      <c r="C34" t="s">
        <v>18</v>
      </c>
      <c r="D34" t="s">
        <v>22</v>
      </c>
      <c r="E34" s="1">
        <v>45667</v>
      </c>
      <c r="F34" s="1">
        <v>45703</v>
      </c>
      <c r="G34">
        <v>15000</v>
      </c>
      <c r="H34">
        <v>7000</v>
      </c>
      <c r="I34" t="s">
        <v>14</v>
      </c>
      <c r="J34" t="s">
        <v>23</v>
      </c>
    </row>
    <row r="35" spans="1:10" x14ac:dyDescent="0.25">
      <c r="A35" t="s">
        <v>24</v>
      </c>
      <c r="B35" t="s">
        <v>25</v>
      </c>
      <c r="C35" t="s">
        <v>26</v>
      </c>
      <c r="D35" t="s">
        <v>22</v>
      </c>
      <c r="E35" s="1">
        <v>45672</v>
      </c>
      <c r="F35" s="1">
        <v>45717</v>
      </c>
      <c r="G35">
        <v>12000</v>
      </c>
      <c r="H35">
        <v>5000</v>
      </c>
      <c r="I35" t="s">
        <v>27</v>
      </c>
      <c r="J35" t="s">
        <v>28</v>
      </c>
    </row>
    <row r="36" spans="1:10" x14ac:dyDescent="0.25">
      <c r="A36" t="s">
        <v>29</v>
      </c>
      <c r="B36" t="s">
        <v>30</v>
      </c>
      <c r="C36" t="s">
        <v>31</v>
      </c>
      <c r="D36" t="s">
        <v>32</v>
      </c>
      <c r="E36" s="1">
        <v>45689</v>
      </c>
      <c r="F36" s="1">
        <v>45703</v>
      </c>
      <c r="G36">
        <v>3000</v>
      </c>
      <c r="H36">
        <v>0</v>
      </c>
      <c r="I36" t="s">
        <v>19</v>
      </c>
      <c r="J36" t="s">
        <v>33</v>
      </c>
    </row>
    <row r="37" spans="1:10" x14ac:dyDescent="0.25">
      <c r="A37" t="s">
        <v>34</v>
      </c>
      <c r="B37" t="s">
        <v>35</v>
      </c>
      <c r="C37" t="s">
        <v>12</v>
      </c>
      <c r="D37" t="s">
        <v>13</v>
      </c>
      <c r="E37" s="1">
        <v>45659</v>
      </c>
      <c r="F37" s="1">
        <v>45677</v>
      </c>
      <c r="G37">
        <v>4500</v>
      </c>
      <c r="H37">
        <v>4500</v>
      </c>
      <c r="I37" t="s">
        <v>14</v>
      </c>
      <c r="J37" t="s">
        <v>15</v>
      </c>
    </row>
    <row r="38" spans="1:10" x14ac:dyDescent="0.25">
      <c r="A38" t="s">
        <v>36</v>
      </c>
      <c r="B38" t="s">
        <v>37</v>
      </c>
      <c r="C38" t="s">
        <v>18</v>
      </c>
      <c r="D38" t="s">
        <v>22</v>
      </c>
      <c r="E38" s="1">
        <v>45677</v>
      </c>
      <c r="F38" s="1">
        <v>45731</v>
      </c>
      <c r="G38">
        <v>25000</v>
      </c>
      <c r="H38">
        <v>12000</v>
      </c>
      <c r="I38" t="s">
        <v>27</v>
      </c>
      <c r="J38" t="s">
        <v>28</v>
      </c>
    </row>
    <row r="39" spans="1:10" x14ac:dyDescent="0.25">
      <c r="A39" t="s">
        <v>38</v>
      </c>
      <c r="B39" t="s">
        <v>39</v>
      </c>
      <c r="C39" t="s">
        <v>26</v>
      </c>
      <c r="D39" t="s">
        <v>32</v>
      </c>
      <c r="E39" s="1">
        <v>45717</v>
      </c>
      <c r="F39" s="1">
        <v>45731</v>
      </c>
      <c r="G39">
        <v>2000</v>
      </c>
      <c r="H39">
        <v>0</v>
      </c>
      <c r="I39" t="s">
        <v>14</v>
      </c>
      <c r="J39" t="s">
        <v>28</v>
      </c>
    </row>
    <row r="40" spans="1:10" x14ac:dyDescent="0.25">
      <c r="A40" t="s">
        <v>40</v>
      </c>
      <c r="B40" t="s">
        <v>41</v>
      </c>
      <c r="C40" t="s">
        <v>42</v>
      </c>
      <c r="D40" t="s">
        <v>13</v>
      </c>
      <c r="E40" s="1">
        <v>45658</v>
      </c>
      <c r="F40" s="1">
        <v>45667</v>
      </c>
      <c r="G40">
        <v>3500</v>
      </c>
      <c r="H40">
        <v>3400</v>
      </c>
      <c r="I40" t="s">
        <v>14</v>
      </c>
      <c r="J40" t="s">
        <v>15</v>
      </c>
    </row>
    <row r="41" spans="1:10" x14ac:dyDescent="0.25">
      <c r="A41" t="s">
        <v>43</v>
      </c>
      <c r="B41" t="s">
        <v>44</v>
      </c>
      <c r="C41" t="s">
        <v>18</v>
      </c>
      <c r="D41" t="s">
        <v>32</v>
      </c>
      <c r="E41" s="1">
        <v>45731</v>
      </c>
      <c r="F41" s="1">
        <v>45762</v>
      </c>
      <c r="G41">
        <v>9000</v>
      </c>
      <c r="H41">
        <v>0</v>
      </c>
      <c r="I41" t="s">
        <v>19</v>
      </c>
      <c r="J41" t="s">
        <v>33</v>
      </c>
    </row>
    <row r="42" spans="1:10" x14ac:dyDescent="0.25">
      <c r="A42" t="s">
        <v>45</v>
      </c>
      <c r="B42" t="s">
        <v>46</v>
      </c>
      <c r="C42" t="s">
        <v>12</v>
      </c>
      <c r="D42" t="s">
        <v>22</v>
      </c>
      <c r="E42" s="1">
        <v>45667</v>
      </c>
      <c r="F42" s="1">
        <v>45716</v>
      </c>
      <c r="G42">
        <v>10000</v>
      </c>
      <c r="H42">
        <v>6000</v>
      </c>
      <c r="I42" t="s">
        <v>14</v>
      </c>
      <c r="J42" t="s">
        <v>23</v>
      </c>
    </row>
    <row r="43" spans="1:10" x14ac:dyDescent="0.25">
      <c r="A43" t="s">
        <v>47</v>
      </c>
      <c r="B43" t="s">
        <v>48</v>
      </c>
      <c r="C43" t="s">
        <v>18</v>
      </c>
      <c r="D43" t="s">
        <v>22</v>
      </c>
      <c r="E43" s="1">
        <v>45682</v>
      </c>
      <c r="F43" s="1">
        <v>45748</v>
      </c>
      <c r="G43">
        <v>30000</v>
      </c>
      <c r="H43">
        <v>15000</v>
      </c>
      <c r="I43" t="s">
        <v>27</v>
      </c>
      <c r="J43" t="s">
        <v>28</v>
      </c>
    </row>
    <row r="44" spans="1:10" x14ac:dyDescent="0.25">
      <c r="A44" t="s">
        <v>49</v>
      </c>
      <c r="B44" t="s">
        <v>50</v>
      </c>
      <c r="C44" t="s">
        <v>51</v>
      </c>
      <c r="D44" t="s">
        <v>13</v>
      </c>
      <c r="E44" s="1">
        <v>45662</v>
      </c>
      <c r="F44" s="1">
        <v>45672</v>
      </c>
      <c r="G44">
        <v>6000</v>
      </c>
      <c r="H44">
        <v>6200</v>
      </c>
      <c r="I44" t="s">
        <v>19</v>
      </c>
      <c r="J44" t="s">
        <v>15</v>
      </c>
    </row>
    <row r="45" spans="1:10" x14ac:dyDescent="0.25">
      <c r="A45" t="s">
        <v>52</v>
      </c>
      <c r="B45" t="s">
        <v>53</v>
      </c>
      <c r="C45" t="s">
        <v>51</v>
      </c>
      <c r="D45" t="s">
        <v>22</v>
      </c>
      <c r="E45" s="1">
        <v>45677</v>
      </c>
      <c r="F45" s="1">
        <v>45726</v>
      </c>
      <c r="G45">
        <v>18000</v>
      </c>
      <c r="H45">
        <v>9000</v>
      </c>
      <c r="I45" t="s">
        <v>14</v>
      </c>
      <c r="J45" t="s">
        <v>28</v>
      </c>
    </row>
    <row r="46" spans="1:10" x14ac:dyDescent="0.25">
      <c r="A46" t="s">
        <v>54</v>
      </c>
      <c r="B46" t="s">
        <v>55</v>
      </c>
      <c r="C46" t="s">
        <v>31</v>
      </c>
      <c r="D46" t="s">
        <v>32</v>
      </c>
      <c r="E46" s="1">
        <v>45717</v>
      </c>
      <c r="F46" s="1">
        <v>45736</v>
      </c>
      <c r="G46">
        <v>5000</v>
      </c>
      <c r="H46">
        <v>0</v>
      </c>
      <c r="I46" t="s">
        <v>27</v>
      </c>
      <c r="J46" t="s">
        <v>33</v>
      </c>
    </row>
    <row r="47" spans="1:10" x14ac:dyDescent="0.25">
      <c r="A47" t="s">
        <v>56</v>
      </c>
      <c r="B47" t="s">
        <v>57</v>
      </c>
      <c r="C47" t="s">
        <v>12</v>
      </c>
      <c r="D47" t="s">
        <v>22</v>
      </c>
      <c r="E47" s="1">
        <v>45672</v>
      </c>
      <c r="F47" s="1">
        <v>45748</v>
      </c>
      <c r="G47">
        <v>22000</v>
      </c>
      <c r="H47">
        <v>11000</v>
      </c>
      <c r="I47" t="s">
        <v>19</v>
      </c>
      <c r="J47" t="s">
        <v>23</v>
      </c>
    </row>
    <row r="48" spans="1:10" x14ac:dyDescent="0.25">
      <c r="A48" t="s">
        <v>58</v>
      </c>
      <c r="B48" t="s">
        <v>59</v>
      </c>
      <c r="C48" t="s">
        <v>18</v>
      </c>
      <c r="D48" t="s">
        <v>13</v>
      </c>
      <c r="E48" s="1">
        <v>45667</v>
      </c>
      <c r="F48" s="1">
        <v>45669</v>
      </c>
      <c r="G48">
        <v>2500</v>
      </c>
      <c r="H48">
        <v>2500</v>
      </c>
      <c r="I48" t="s">
        <v>14</v>
      </c>
      <c r="J48" t="s">
        <v>15</v>
      </c>
    </row>
    <row r="49" spans="1:10" x14ac:dyDescent="0.25">
      <c r="A49" t="s">
        <v>60</v>
      </c>
      <c r="B49" t="s">
        <v>61</v>
      </c>
      <c r="C49" t="s">
        <v>51</v>
      </c>
      <c r="D49" t="s">
        <v>32</v>
      </c>
      <c r="E49" s="1">
        <v>45748</v>
      </c>
      <c r="F49" s="1">
        <v>45762</v>
      </c>
      <c r="G49">
        <v>7500</v>
      </c>
      <c r="H49">
        <v>0</v>
      </c>
      <c r="I49" t="s">
        <v>14</v>
      </c>
      <c r="J49" t="s">
        <v>28</v>
      </c>
    </row>
    <row r="50" spans="1:10" x14ac:dyDescent="0.25">
      <c r="A50" t="s">
        <v>62</v>
      </c>
      <c r="B50" t="s">
        <v>63</v>
      </c>
      <c r="C50" t="s">
        <v>12</v>
      </c>
      <c r="D50" t="s">
        <v>13</v>
      </c>
      <c r="E50" s="1">
        <v>45658</v>
      </c>
      <c r="F50" s="1">
        <v>45682</v>
      </c>
      <c r="G50">
        <v>8000</v>
      </c>
      <c r="H50">
        <v>8500</v>
      </c>
      <c r="I50" t="s">
        <v>27</v>
      </c>
      <c r="J50" t="s">
        <v>15</v>
      </c>
    </row>
    <row r="51" spans="1:10" x14ac:dyDescent="0.25">
      <c r="A51" t="s">
        <v>64</v>
      </c>
      <c r="B51" t="s">
        <v>65</v>
      </c>
      <c r="C51" t="s">
        <v>18</v>
      </c>
      <c r="D51" t="s">
        <v>22</v>
      </c>
      <c r="E51" s="1">
        <v>45689</v>
      </c>
      <c r="F51" s="1">
        <v>45717</v>
      </c>
      <c r="G51">
        <v>11000</v>
      </c>
      <c r="H51">
        <v>4000</v>
      </c>
      <c r="I51" t="s">
        <v>19</v>
      </c>
      <c r="J51" t="s">
        <v>28</v>
      </c>
    </row>
    <row r="52" spans="1:10" x14ac:dyDescent="0.25">
      <c r="A52" t="s">
        <v>66</v>
      </c>
      <c r="B52" t="s">
        <v>67</v>
      </c>
      <c r="C52" t="s">
        <v>26</v>
      </c>
      <c r="D52" t="s">
        <v>13</v>
      </c>
      <c r="E52" s="1">
        <v>45667</v>
      </c>
      <c r="F52" s="1">
        <v>45669</v>
      </c>
      <c r="G52">
        <v>4000</v>
      </c>
      <c r="H52">
        <v>4000</v>
      </c>
      <c r="I52" t="s">
        <v>14</v>
      </c>
      <c r="J52" t="s">
        <v>15</v>
      </c>
    </row>
    <row r="53" spans="1:10" x14ac:dyDescent="0.25">
      <c r="A53" t="s">
        <v>68</v>
      </c>
      <c r="B53" t="s">
        <v>69</v>
      </c>
      <c r="C53" t="s">
        <v>31</v>
      </c>
      <c r="D53" t="s">
        <v>22</v>
      </c>
      <c r="E53" s="1">
        <v>45677</v>
      </c>
      <c r="F53" s="1">
        <v>45703</v>
      </c>
      <c r="G53">
        <v>6000</v>
      </c>
      <c r="H53">
        <v>3000</v>
      </c>
      <c r="I53" t="s">
        <v>19</v>
      </c>
      <c r="J53" t="s">
        <v>23</v>
      </c>
    </row>
    <row r="54" spans="1:10" x14ac:dyDescent="0.25">
      <c r="A54" t="s">
        <v>70</v>
      </c>
      <c r="B54" t="s">
        <v>71</v>
      </c>
      <c r="C54" t="s">
        <v>18</v>
      </c>
      <c r="D54" t="s">
        <v>32</v>
      </c>
      <c r="E54" s="1">
        <v>45757</v>
      </c>
      <c r="F54" s="1">
        <v>45787</v>
      </c>
      <c r="G54">
        <v>5000</v>
      </c>
      <c r="H54">
        <v>0</v>
      </c>
      <c r="I54" t="s">
        <v>14</v>
      </c>
      <c r="J54" t="s">
        <v>33</v>
      </c>
    </row>
    <row r="55" spans="1:10" x14ac:dyDescent="0.25">
      <c r="A55" t="s">
        <v>72</v>
      </c>
      <c r="B55" t="s">
        <v>73</v>
      </c>
      <c r="C55" t="s">
        <v>12</v>
      </c>
      <c r="D55" t="s">
        <v>22</v>
      </c>
      <c r="E55" s="1">
        <v>45689</v>
      </c>
      <c r="F55" s="1">
        <v>45731</v>
      </c>
      <c r="G55">
        <v>14000</v>
      </c>
      <c r="H55">
        <v>6000</v>
      </c>
      <c r="I55" t="s">
        <v>27</v>
      </c>
      <c r="J55" t="s">
        <v>28</v>
      </c>
    </row>
    <row r="56" spans="1:10" x14ac:dyDescent="0.25">
      <c r="A56" t="s">
        <v>74</v>
      </c>
      <c r="B56" t="s">
        <v>75</v>
      </c>
      <c r="C56" t="s">
        <v>51</v>
      </c>
      <c r="D56" t="s">
        <v>13</v>
      </c>
      <c r="E56" s="1">
        <v>45672</v>
      </c>
      <c r="F56" s="1">
        <v>45687</v>
      </c>
      <c r="G56">
        <v>9000</v>
      </c>
      <c r="H56">
        <v>8800</v>
      </c>
      <c r="I56" t="s">
        <v>14</v>
      </c>
      <c r="J56" t="s">
        <v>15</v>
      </c>
    </row>
    <row r="57" spans="1:10" x14ac:dyDescent="0.25">
      <c r="A57" t="s">
        <v>76</v>
      </c>
      <c r="B57" t="s">
        <v>77</v>
      </c>
      <c r="C57" t="s">
        <v>18</v>
      </c>
      <c r="D57" t="s">
        <v>13</v>
      </c>
      <c r="E57" s="1">
        <v>45662</v>
      </c>
      <c r="F57" s="1">
        <v>45667</v>
      </c>
      <c r="G57">
        <v>3000</v>
      </c>
      <c r="H57">
        <v>3100</v>
      </c>
      <c r="I57" t="s">
        <v>14</v>
      </c>
      <c r="J57" t="s">
        <v>15</v>
      </c>
    </row>
    <row r="58" spans="1:10" x14ac:dyDescent="0.25">
      <c r="A58" t="s">
        <v>78</v>
      </c>
      <c r="B58" t="s">
        <v>79</v>
      </c>
      <c r="C58" t="s">
        <v>18</v>
      </c>
      <c r="D58" t="s">
        <v>13</v>
      </c>
      <c r="E58" s="1">
        <v>45658</v>
      </c>
      <c r="F58" s="1">
        <v>45660</v>
      </c>
      <c r="G58">
        <v>1000</v>
      </c>
      <c r="H58">
        <v>900</v>
      </c>
      <c r="I58" t="s">
        <v>14</v>
      </c>
      <c r="J58" t="s">
        <v>15</v>
      </c>
    </row>
    <row r="59" spans="1:10" x14ac:dyDescent="0.25">
      <c r="A59" t="s">
        <v>80</v>
      </c>
      <c r="B59" t="s">
        <v>81</v>
      </c>
      <c r="C59" t="s">
        <v>51</v>
      </c>
      <c r="D59" t="s">
        <v>22</v>
      </c>
      <c r="E59" s="1">
        <v>45698</v>
      </c>
      <c r="F59" s="1">
        <v>45748</v>
      </c>
      <c r="G59">
        <v>20000</v>
      </c>
      <c r="H59">
        <v>5000</v>
      </c>
      <c r="I59" t="s">
        <v>19</v>
      </c>
      <c r="J59" t="s">
        <v>28</v>
      </c>
    </row>
    <row r="60" spans="1:10" x14ac:dyDescent="0.25">
      <c r="A60" t="s">
        <v>82</v>
      </c>
      <c r="B60" t="s">
        <v>83</v>
      </c>
      <c r="C60" t="s">
        <v>12</v>
      </c>
      <c r="D60" t="s">
        <v>32</v>
      </c>
      <c r="E60" s="1">
        <v>45778</v>
      </c>
      <c r="F60" s="1">
        <v>45809</v>
      </c>
      <c r="G60">
        <v>15000</v>
      </c>
      <c r="H60">
        <v>0</v>
      </c>
      <c r="I60" t="s">
        <v>19</v>
      </c>
      <c r="J60" t="s">
        <v>33</v>
      </c>
    </row>
    <row r="61" spans="1:10" x14ac:dyDescent="0.25">
      <c r="A61" t="s">
        <v>84</v>
      </c>
      <c r="B61" t="s">
        <v>85</v>
      </c>
      <c r="C61" t="s">
        <v>31</v>
      </c>
      <c r="D61" t="s">
        <v>13</v>
      </c>
      <c r="E61" s="1">
        <v>45667</v>
      </c>
      <c r="F61" s="1">
        <v>45677</v>
      </c>
      <c r="G61">
        <v>4000</v>
      </c>
      <c r="H61">
        <v>4200</v>
      </c>
      <c r="I61" t="s">
        <v>27</v>
      </c>
      <c r="J61" t="s">
        <v>15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Analytics</vt:lpstr>
      <vt:lpstr>Dashboard</vt:lpstr>
      <vt:lpstr>project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Precious</dc:creator>
  <cp:lastModifiedBy>Eloho Eric</cp:lastModifiedBy>
  <dcterms:created xsi:type="dcterms:W3CDTF">2026-02-09T12:50:28Z</dcterms:created>
  <dcterms:modified xsi:type="dcterms:W3CDTF">2026-02-13T14:14:45Z</dcterms:modified>
</cp:coreProperties>
</file>